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成本" sheetId="2" r:id="rId1"/>
  </sheets>
  <definedNames>
    <definedName name="_xlnm._FilterDatabase" localSheetId="0" hidden="1">成本!$A$1:$P$138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comments1.xml><?xml version="1.0" encoding="utf-8"?>
<comments xmlns="http://schemas.openxmlformats.org/spreadsheetml/2006/main">
  <authors>
    <author>Unknown User</author>
  </authors>
  <commentList>
    <comment ref="L1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（不含仓储、上架等）</t>
        </r>
      </text>
    </comment>
    <comment ref="J4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含补发纸盒</t>
        </r>
      </text>
    </comment>
    <comment ref="K4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安时达仓储费</t>
        </r>
      </text>
    </comment>
    <comment ref="K11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箱子</t>
        </r>
      </text>
    </comment>
    <comment ref="K12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箱子+安时达仓储费</t>
        </r>
      </text>
    </comment>
    <comment ref="K13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内外箱</t>
        </r>
      </text>
    </comment>
    <comment ref="C15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8折</t>
        </r>
      </text>
    </comment>
    <comment ref="C29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斋月发货的按1400一方</t>
        </r>
      </text>
    </comment>
    <comment ref="C42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8折</t>
        </r>
      </text>
    </comment>
    <comment ref="K46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纸箱</t>
        </r>
      </text>
    </comment>
    <comment ref="K57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纸盒外箱，有两次，需核实</t>
        </r>
      </text>
    </comment>
    <comment ref="K96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样品</t>
        </r>
      </text>
    </comment>
    <comment ref="K129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样品</t>
        </r>
      </text>
    </comment>
    <comment ref="K130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样品</t>
        </r>
      </text>
    </comment>
    <comment ref="K131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样品</t>
        </r>
      </text>
    </comment>
    <comment ref="K132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样品</t>
        </r>
      </text>
    </comment>
    <comment ref="K133" authorId="0">
      <text>
        <r>
          <rPr>
            <b/>
            <sz val="9"/>
            <rFont val="宋体"/>
            <charset val="134"/>
          </rPr>
          <t>闪闪发光的萝卜:</t>
        </r>
        <r>
          <rPr>
            <sz val="9"/>
            <rFont val="宋体"/>
            <charset val="134"/>
          </rPr>
          <t xml:space="preserve">
样品</t>
        </r>
      </text>
    </comment>
  </commentList>
</comments>
</file>

<file path=xl/sharedStrings.xml><?xml version="1.0" encoding="utf-8"?>
<sst xmlns="http://schemas.openxmlformats.org/spreadsheetml/2006/main" count="340" uniqueCount="215">
  <si>
    <t>型号</t>
  </si>
  <si>
    <t>希音标准名</t>
  </si>
  <si>
    <t>发货单号</t>
  </si>
  <si>
    <t>发货日期</t>
  </si>
  <si>
    <t>到仓/派送日期</t>
  </si>
  <si>
    <t>进货单价</t>
  </si>
  <si>
    <t>数量</t>
  </si>
  <si>
    <t>货款</t>
  </si>
  <si>
    <t>国内运输费</t>
  </si>
  <si>
    <t>头程运输费</t>
  </si>
  <si>
    <t>其他</t>
  </si>
  <si>
    <t>总金额</t>
  </si>
  <si>
    <t>上架</t>
  </si>
  <si>
    <t>出库</t>
  </si>
  <si>
    <t>希音派送费</t>
  </si>
  <si>
    <t>单台总成本
（SAR）</t>
  </si>
  <si>
    <t>BHRL-09</t>
  </si>
  <si>
    <t>激光脱毛仪</t>
  </si>
  <si>
    <t>KYD05552GF</t>
  </si>
  <si>
    <t>CM-121E</t>
  </si>
  <si>
    <t>美式咖啡机</t>
  </si>
  <si>
    <t>F2602034904752</t>
  </si>
  <si>
    <t>FZ-666</t>
  </si>
  <si>
    <t>颈部按摩器</t>
  </si>
  <si>
    <t>8A04QUP</t>
  </si>
  <si>
    <t>HS-025</t>
  </si>
  <si>
    <t>直发夹板</t>
  </si>
  <si>
    <t>JD-389</t>
  </si>
  <si>
    <t>空气炸锅</t>
  </si>
  <si>
    <t>F2602054840075</t>
  </si>
  <si>
    <t>KF-JN-02</t>
  </si>
  <si>
    <t>便携咖啡机</t>
  </si>
  <si>
    <t>F2601085151145</t>
  </si>
  <si>
    <t>KJ-102</t>
  </si>
  <si>
    <t>三明治机和早餐机</t>
  </si>
  <si>
    <t>F2601084928031</t>
  </si>
  <si>
    <t>F2604025257971</t>
  </si>
  <si>
    <t>KJ-102S</t>
  </si>
  <si>
    <t>F2510075481154</t>
  </si>
  <si>
    <t>PA4-6L</t>
  </si>
  <si>
    <t>便携式冰箱</t>
  </si>
  <si>
    <t>8A04PD9</t>
  </si>
  <si>
    <t>F2510075731524</t>
  </si>
  <si>
    <t>F2601055568446</t>
  </si>
  <si>
    <t>S1810</t>
  </si>
  <si>
    <t>电热水壶</t>
  </si>
  <si>
    <t>F2509274777266</t>
  </si>
  <si>
    <t>F2512035364950</t>
  </si>
  <si>
    <t>F2601064703070</t>
  </si>
  <si>
    <t>F2601274729300</t>
  </si>
  <si>
    <t>SK-03012</t>
  </si>
  <si>
    <t>台式榨汁机</t>
  </si>
  <si>
    <t>F2510075237762</t>
  </si>
  <si>
    <t>F2601084648203</t>
  </si>
  <si>
    <t>SK-03038</t>
  </si>
  <si>
    <t>制冰机</t>
  </si>
  <si>
    <t>F2602105194935</t>
  </si>
  <si>
    <t>F2604305036126</t>
  </si>
  <si>
    <t>SK-04031</t>
  </si>
  <si>
    <t>胶囊咖啡机</t>
  </si>
  <si>
    <t>F2511195233155</t>
  </si>
  <si>
    <t>F2601124819159</t>
  </si>
  <si>
    <t>SK-088</t>
  </si>
  <si>
    <t>绞肉机</t>
  </si>
  <si>
    <t>F2602075316850</t>
  </si>
  <si>
    <t>SK-10075</t>
  </si>
  <si>
    <t>电油炸锅</t>
  </si>
  <si>
    <t>SK-11004</t>
  </si>
  <si>
    <t>蒸汽熨烫机</t>
  </si>
  <si>
    <t>F2510074708485</t>
  </si>
  <si>
    <t>F2601034925500</t>
  </si>
  <si>
    <t>F2601084814468</t>
  </si>
  <si>
    <t>SK-11041</t>
  </si>
  <si>
    <t>F2510075268136</t>
  </si>
  <si>
    <t>SK-13014</t>
  </si>
  <si>
    <t>杆式吸尘器</t>
  </si>
  <si>
    <t>F2602074737066</t>
  </si>
  <si>
    <t>SK-13015</t>
  </si>
  <si>
    <t>F2602075223587</t>
  </si>
  <si>
    <t>SK-13034</t>
  </si>
  <si>
    <t>F2604034755594</t>
  </si>
  <si>
    <t>SK-13065</t>
  </si>
  <si>
    <t>吸尘器</t>
  </si>
  <si>
    <t>F2601225503040</t>
  </si>
  <si>
    <t>SK-15013</t>
  </si>
  <si>
    <t>卷发钳和卷发棒</t>
  </si>
  <si>
    <t>SK-15030</t>
  </si>
  <si>
    <t>热风梳</t>
  </si>
  <si>
    <t>F2601234811188</t>
  </si>
  <si>
    <t>SK-15032</t>
  </si>
  <si>
    <t>F2601235353410</t>
  </si>
  <si>
    <t>SK-15061</t>
  </si>
  <si>
    <t>F2601234871223</t>
  </si>
  <si>
    <t>SK-1713-4</t>
  </si>
  <si>
    <t>手持搅拌器</t>
  </si>
  <si>
    <t>F2509184664241</t>
  </si>
  <si>
    <t>F2510075368945</t>
  </si>
  <si>
    <t>F2512095228476</t>
  </si>
  <si>
    <t>F2601065418068</t>
  </si>
  <si>
    <t>F2601265163983</t>
  </si>
  <si>
    <t>SK-185</t>
  </si>
  <si>
    <t>F2510074923258</t>
  </si>
  <si>
    <t>F2601085716241</t>
  </si>
  <si>
    <t>SK-1914</t>
  </si>
  <si>
    <t>SK-1924</t>
  </si>
  <si>
    <t>F2510075664794</t>
  </si>
  <si>
    <t>SK-1928</t>
  </si>
  <si>
    <t>F2510074639098</t>
  </si>
  <si>
    <t>SK-223</t>
  </si>
  <si>
    <t>F2601125437783</t>
  </si>
  <si>
    <t>F2604025120393</t>
  </si>
  <si>
    <t>SK-270</t>
  </si>
  <si>
    <t>厨师机</t>
  </si>
  <si>
    <t>F2602075524988</t>
  </si>
  <si>
    <t>SK-271</t>
  </si>
  <si>
    <t>F2602075759634</t>
  </si>
  <si>
    <t>SK-272</t>
  </si>
  <si>
    <t>F2602074745575</t>
  </si>
  <si>
    <t>SK-3378</t>
  </si>
  <si>
    <t>F2510074716010</t>
  </si>
  <si>
    <t>F2601085470533</t>
  </si>
  <si>
    <t>F2604225044915</t>
  </si>
  <si>
    <t>SK-446</t>
  </si>
  <si>
    <t>电动刀与切片器</t>
  </si>
  <si>
    <t>F2602074623345</t>
  </si>
  <si>
    <t>SK-5110</t>
  </si>
  <si>
    <t>电磁炉</t>
  </si>
  <si>
    <t>F2510134715166</t>
  </si>
  <si>
    <t>F2604025378463</t>
  </si>
  <si>
    <t>SK-5118</t>
  </si>
  <si>
    <t>SK-6810</t>
  </si>
  <si>
    <t>半自动意式咖啡机</t>
  </si>
  <si>
    <t>F2511195019973</t>
  </si>
  <si>
    <t>F2601125560696</t>
  </si>
  <si>
    <t>F2604025462250</t>
  </si>
  <si>
    <t>SK-6863</t>
  </si>
  <si>
    <t>F2601125574145</t>
  </si>
  <si>
    <t>F2604305743657</t>
  </si>
  <si>
    <t>SK-7015</t>
  </si>
  <si>
    <t>SK-7025A</t>
  </si>
  <si>
    <t>F2510075345563</t>
  </si>
  <si>
    <t>F2601085661042</t>
  </si>
  <si>
    <t>SK-7027</t>
  </si>
  <si>
    <t>F2510075334473</t>
  </si>
  <si>
    <t>F2601085433660</t>
  </si>
  <si>
    <t>F2604025294248</t>
  </si>
  <si>
    <t>SK-7028</t>
  </si>
  <si>
    <t>F2510074938516</t>
  </si>
  <si>
    <t>F2601084671666</t>
  </si>
  <si>
    <t>SK-777</t>
  </si>
  <si>
    <t>碎冰机和刨冰机</t>
  </si>
  <si>
    <t>F2602075735980</t>
  </si>
  <si>
    <t>SK-999</t>
  </si>
  <si>
    <t>食品料理机</t>
  </si>
  <si>
    <t>F2512194708411</t>
  </si>
  <si>
    <t>F2601085453063</t>
  </si>
  <si>
    <t>SK-GT-3065</t>
  </si>
  <si>
    <t>F2510075423944</t>
  </si>
  <si>
    <t>F2601124892856</t>
  </si>
  <si>
    <t>F2604024964024</t>
  </si>
  <si>
    <t>SK-JB-175</t>
  </si>
  <si>
    <t>离心式榨汁机</t>
  </si>
  <si>
    <t>F2510075061332</t>
  </si>
  <si>
    <t>F2601084633298</t>
  </si>
  <si>
    <t>SK-JFB-675B</t>
  </si>
  <si>
    <t>SK-JFB-794</t>
  </si>
  <si>
    <t>SK-YM-7032</t>
  </si>
  <si>
    <t>SL-6699</t>
  </si>
  <si>
    <t>F2510075582355</t>
  </si>
  <si>
    <t>SM-505A</t>
  </si>
  <si>
    <t>电动缝纫机</t>
  </si>
  <si>
    <t>F2510135729064</t>
  </si>
  <si>
    <t>F2512305633148</t>
  </si>
  <si>
    <t>F2601315231791</t>
  </si>
  <si>
    <t>F2604125759851</t>
  </si>
  <si>
    <t>SM-520A</t>
  </si>
  <si>
    <t>F2604125290343</t>
  </si>
  <si>
    <t>SM-825</t>
  </si>
  <si>
    <t>F2604125105317</t>
  </si>
  <si>
    <t>SM-961</t>
  </si>
  <si>
    <t>F2510125424440</t>
  </si>
  <si>
    <t>F2601164909382</t>
  </si>
  <si>
    <t>F2601305421285</t>
  </si>
  <si>
    <t>V22</t>
  </si>
  <si>
    <t>行车记录仪</t>
  </si>
  <si>
    <t>KYD03172GF</t>
  </si>
  <si>
    <t>WK-1710-4</t>
  </si>
  <si>
    <t>F2510075222033</t>
  </si>
  <si>
    <t>F2601084684039</t>
  </si>
  <si>
    <t>F2604025118150</t>
  </si>
  <si>
    <t>这个月初发240的小冰箱，月底发240的小冰箱</t>
  </si>
  <si>
    <t>月中505缝纫机再发360</t>
  </si>
  <si>
    <t>1714上连接，然后发180，从广州发</t>
  </si>
  <si>
    <t>1711发180，从义乌发</t>
  </si>
  <si>
    <t>121E美式咖啡机，可以补120</t>
  </si>
  <si>
    <t>15013补120</t>
  </si>
  <si>
    <t>20号之后补3378，180台，义乌发，要采购箱子</t>
  </si>
  <si>
    <t>175，待定</t>
  </si>
  <si>
    <t>03012，待定</t>
  </si>
  <si>
    <t>DL-T1</t>
  </si>
  <si>
    <t>2月初</t>
  </si>
  <si>
    <t>SK-04029</t>
  </si>
  <si>
    <t>马上发</t>
  </si>
  <si>
    <t>DGP-002</t>
  </si>
  <si>
    <t>电动螺丝刀</t>
  </si>
  <si>
    <t>QXJ-111</t>
  </si>
  <si>
    <t>手持蒸汽清洁机</t>
  </si>
  <si>
    <t>R36S</t>
  </si>
  <si>
    <t>掌上游戏机</t>
  </si>
  <si>
    <t>WN-02</t>
  </si>
  <si>
    <t>电动按摩梳</t>
  </si>
  <si>
    <t>ZH440</t>
  </si>
  <si>
    <t>美甲套装</t>
  </si>
  <si>
    <t>发错货赔偿</t>
  </si>
  <si>
    <t>缝纫机免移仓费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</si>
</sst>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7" formatCode="&quot;￥&quot;#,##0.00;&quot;￥&quot;\-#,##0.00"/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;@"/>
    <numFmt numFmtId="177" formatCode="&quot;￥&quot;#,##0.00_);[Red]\(&quot;￥&quot;#,##0.00\)"/>
    <numFmt numFmtId="178" formatCode="&quot;﷼&quot;0.00"/>
    <numFmt numFmtId="179" formatCode="yyyy/m/d;@"/>
    <numFmt numFmtId="180" formatCode="#,##0_ "/>
    <numFmt numFmtId="181" formatCode="&quot;￥&quot;#,##0_);[Red]\(&quot;￥&quot;#,##0\)"/>
  </numFmts>
  <fonts count="27">
    <font>
      <sz val="11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C00000"/>
      <name val="微软雅黑"/>
      <charset val="134"/>
    </font>
    <font>
      <b/>
      <sz val="10"/>
      <color theme="1"/>
      <name val="微软雅黑"/>
      <charset val="134"/>
    </font>
    <font>
      <b/>
      <sz val="10"/>
      <color theme="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"/>
        <bgColor theme="5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theme="5" tint="0.399975585192419"/>
      </left>
      <right/>
      <top style="thin">
        <color theme="5" tint="0.399975585192419"/>
      </top>
      <bottom style="thin">
        <color theme="5" tint="0.399975585192419"/>
      </bottom>
      <diagonal/>
    </border>
    <border>
      <left/>
      <right/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/>
      </left>
      <right style="thin">
        <color theme="5"/>
      </right>
      <top/>
      <bottom style="thin">
        <color theme="0"/>
      </bottom>
      <diagonal/>
    </border>
    <border>
      <left style="thin">
        <color theme="5"/>
      </left>
      <right style="thin">
        <color theme="5" tint="0.399975585192419"/>
      </right>
      <top/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 tint="0.399975585192419"/>
      </right>
      <top/>
      <bottom style="thin">
        <color theme="5" tint="0.399975585192419"/>
      </bottom>
      <diagonal/>
    </border>
    <border>
      <left style="thin">
        <color theme="5"/>
      </left>
      <right style="thin">
        <color theme="5"/>
      </right>
      <top style="thin">
        <color theme="0"/>
      </top>
      <bottom style="thin">
        <color theme="0"/>
      </bottom>
      <diagonal/>
    </border>
    <border>
      <left style="thin">
        <color theme="5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0"/>
      </bottom>
      <diagonal/>
    </border>
    <border>
      <left style="thin">
        <color theme="5"/>
      </left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/>
      </left>
      <right style="thin">
        <color theme="5"/>
      </right>
      <top style="thin">
        <color theme="0"/>
      </top>
      <bottom style="thin">
        <color theme="5"/>
      </bottom>
      <diagonal/>
    </border>
    <border>
      <left style="thin">
        <color theme="5"/>
      </left>
      <right style="thin">
        <color theme="5" tint="0.399975585192419"/>
      </right>
      <top style="thin">
        <color theme="5" tint="0.399975585192419"/>
      </top>
      <bottom style="thin">
        <color theme="5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9" applyNumberFormat="0" applyAlignment="0" applyProtection="0">
      <alignment vertical="center"/>
    </xf>
    <xf numFmtId="0" fontId="15" fillId="7" borderId="20" applyNumberFormat="0" applyAlignment="0" applyProtection="0">
      <alignment vertical="center"/>
    </xf>
    <xf numFmtId="0" fontId="16" fillId="7" borderId="19" applyNumberFormat="0" applyAlignment="0" applyProtection="0">
      <alignment vertical="center"/>
    </xf>
    <xf numFmtId="0" fontId="17" fillId="8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10">
    <xf numFmtId="0" fontId="0" fillId="0" borderId="0" xfId="0">
      <alignment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Border="1" applyAlignment="1">
      <alignment vertical="center"/>
    </xf>
    <xf numFmtId="0" fontId="1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8" fontId="1" fillId="0" borderId="0" xfId="0" applyNumberFormat="1" applyFont="1" applyFill="1" applyBorder="1" applyAlignment="1">
      <alignment vertical="center"/>
    </xf>
    <xf numFmtId="7" fontId="1" fillId="0" borderId="0" xfId="0" applyNumberFormat="1" applyFont="1" applyFill="1" applyBorder="1" applyAlignment="1">
      <alignment vertical="center"/>
    </xf>
    <xf numFmtId="177" fontId="1" fillId="0" borderId="0" xfId="0" applyNumberFormat="1" applyFont="1" applyFill="1" applyBorder="1" applyAlignment="1">
      <alignment vertical="center"/>
    </xf>
    <xf numFmtId="178" fontId="1" fillId="0" borderId="0" xfId="0" applyNumberFormat="1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76" fontId="4" fillId="3" borderId="2" xfId="0" applyNumberFormat="1" applyFont="1" applyFill="1" applyBorder="1" applyAlignment="1">
      <alignment horizontal="center" vertical="center" wrapText="1"/>
    </xf>
    <xf numFmtId="8" fontId="4" fillId="3" borderId="2" xfId="0" applyNumberFormat="1" applyFont="1" applyFill="1" applyBorder="1" applyAlignment="1">
      <alignment horizontal="center" vertical="center" wrapText="1"/>
    </xf>
    <xf numFmtId="7" fontId="4" fillId="3" borderId="2" xfId="0" applyNumberFormat="1" applyFont="1" applyFill="1" applyBorder="1" applyAlignment="1">
      <alignment horizontal="center" vertical="center" wrapText="1"/>
    </xf>
    <xf numFmtId="177" fontId="4" fillId="3" borderId="2" xfId="0" applyNumberFormat="1" applyFont="1" applyFill="1" applyBorder="1" applyAlignment="1">
      <alignment horizontal="center" vertical="center" wrapText="1"/>
    </xf>
    <xf numFmtId="178" fontId="4" fillId="3" borderId="2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14" fontId="1" fillId="4" borderId="2" xfId="0" applyNumberFormat="1" applyFont="1" applyFill="1" applyBorder="1" applyAlignment="1">
      <alignment horizontal="center" vertical="center" wrapText="1"/>
    </xf>
    <xf numFmtId="179" fontId="1" fillId="4" borderId="2" xfId="0" applyNumberFormat="1" applyFont="1" applyFill="1" applyBorder="1" applyAlignment="1">
      <alignment horizontal="center" vertical="center" wrapText="1"/>
    </xf>
    <xf numFmtId="7" fontId="1" fillId="4" borderId="2" xfId="0" applyNumberFormat="1" applyFont="1" applyFill="1" applyBorder="1" applyAlignment="1">
      <alignment horizontal="center" vertical="center" wrapText="1"/>
    </xf>
    <xf numFmtId="180" fontId="1" fillId="4" borderId="2" xfId="0" applyNumberFormat="1" applyFont="1" applyFill="1" applyBorder="1" applyAlignment="1">
      <alignment horizontal="center" vertical="center" wrapText="1"/>
    </xf>
    <xf numFmtId="8" fontId="1" fillId="4" borderId="2" xfId="0" applyNumberFormat="1" applyFont="1" applyFill="1" applyBorder="1" applyAlignment="1">
      <alignment horizontal="center" vertical="center" wrapText="1"/>
    </xf>
    <xf numFmtId="177" fontId="1" fillId="4" borderId="2" xfId="0" applyNumberFormat="1" applyFont="1" applyFill="1" applyBorder="1" applyAlignment="1">
      <alignment horizontal="center" vertical="center" wrapText="1"/>
    </xf>
    <xf numFmtId="181" fontId="1" fillId="4" borderId="2" xfId="0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14" fontId="1" fillId="0" borderId="2" xfId="0" applyNumberFormat="1" applyFont="1" applyFill="1" applyBorder="1" applyAlignment="1">
      <alignment horizontal="center" vertical="center" wrapText="1"/>
    </xf>
    <xf numFmtId="179" fontId="1" fillId="0" borderId="2" xfId="0" applyNumberFormat="1" applyFont="1" applyFill="1" applyBorder="1" applyAlignment="1">
      <alignment horizontal="center" vertical="center" wrapText="1"/>
    </xf>
    <xf numFmtId="7" fontId="1" fillId="0" borderId="2" xfId="0" applyNumberFormat="1" applyFont="1" applyFill="1" applyBorder="1" applyAlignment="1">
      <alignment horizontal="center" vertical="center" wrapText="1"/>
    </xf>
    <xf numFmtId="180" fontId="1" fillId="0" borderId="2" xfId="0" applyNumberFormat="1" applyFont="1" applyFill="1" applyBorder="1" applyAlignment="1">
      <alignment horizontal="center" vertical="center" wrapText="1"/>
    </xf>
    <xf numFmtId="8" fontId="1" fillId="0" borderId="2" xfId="0" applyNumberFormat="1" applyFont="1" applyFill="1" applyBorder="1" applyAlignment="1">
      <alignment horizontal="center" vertical="center" wrapText="1"/>
    </xf>
    <xf numFmtId="177" fontId="1" fillId="0" borderId="2" xfId="0" applyNumberFormat="1" applyFont="1" applyFill="1" applyBorder="1" applyAlignment="1">
      <alignment horizontal="center" vertical="center" wrapText="1"/>
    </xf>
    <xf numFmtId="181" fontId="1" fillId="0" borderId="2" xfId="0" applyNumberFormat="1" applyFont="1" applyFill="1" applyBorder="1" applyAlignment="1">
      <alignment horizontal="center" vertical="center" wrapText="1"/>
    </xf>
    <xf numFmtId="0" fontId="1" fillId="4" borderId="1" xfId="0" applyNumberFormat="1" applyFont="1" applyFill="1" applyBorder="1" applyAlignment="1">
      <alignment horizontal="center" vertical="center" wrapText="1"/>
    </xf>
    <xf numFmtId="49" fontId="1" fillId="4" borderId="2" xfId="0" applyNumberFormat="1" applyFont="1" applyFill="1" applyBorder="1" applyAlignment="1">
      <alignment horizontal="center" vertical="center" wrapText="1"/>
    </xf>
    <xf numFmtId="0" fontId="1" fillId="0" borderId="2" xfId="0" applyNumberFormat="1" applyFont="1" applyFill="1" applyBorder="1" applyAlignment="1">
      <alignment horizontal="center" vertical="center" wrapText="1"/>
    </xf>
    <xf numFmtId="0" fontId="1" fillId="0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Fill="1" applyBorder="1" applyAlignment="1">
      <alignment horizontal="center" vertical="center" wrapText="1"/>
    </xf>
    <xf numFmtId="0" fontId="1" fillId="4" borderId="2" xfId="0" applyNumberFormat="1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14" fontId="1" fillId="0" borderId="0" xfId="0" applyNumberFormat="1" applyFont="1" applyFill="1" applyBorder="1" applyAlignment="1">
      <alignment horizontal="center" vertical="center" wrapText="1"/>
    </xf>
    <xf numFmtId="179" fontId="1" fillId="0" borderId="0" xfId="0" applyNumberFormat="1" applyFont="1" applyFill="1" applyBorder="1" applyAlignment="1">
      <alignment horizontal="center" vertical="center" wrapText="1"/>
    </xf>
    <xf numFmtId="7" fontId="1" fillId="0" borderId="0" xfId="0" applyNumberFormat="1" applyFont="1" applyFill="1" applyBorder="1" applyAlignment="1">
      <alignment horizontal="center" vertical="center" wrapText="1"/>
    </xf>
    <xf numFmtId="8" fontId="1" fillId="2" borderId="0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Fill="1" applyBorder="1" applyAlignment="1">
      <alignment horizontal="center" vertical="center" wrapText="1"/>
    </xf>
    <xf numFmtId="181" fontId="1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1"/>
        </ext>
      </extLst>
    </xf>
    <xf numFmtId="0" fontId="5" fillId="0" borderId="0" xfId="0" applyFont="1" applyFill="1" applyBorder="1" applyAlignment="1">
      <alignment horizontal="center" vertical="center"/>
      <extLst>
        <ext xmlns:etc="http://www.wps.cn/officeDocument/2017/etCustomData" uri="{F19249F5-4A6E-446B-B59F-E2C9F2DAA1D5}">
          <etc:displayText val="1"/>
        </ext>
      </extLst>
    </xf>
    <xf numFmtId="0" fontId="3" fillId="2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14" fontId="1" fillId="2" borderId="0" xfId="0" applyNumberFormat="1" applyFont="1" applyFill="1" applyBorder="1" applyAlignment="1">
      <alignment horizontal="center" vertical="center" wrapText="1"/>
    </xf>
    <xf numFmtId="179" fontId="1" fillId="2" borderId="0" xfId="0" applyNumberFormat="1" applyFont="1" applyFill="1" applyBorder="1" applyAlignment="1">
      <alignment horizontal="center" vertical="center" wrapText="1"/>
    </xf>
    <xf numFmtId="7" fontId="1" fillId="2" borderId="0" xfId="0" applyNumberFormat="1" applyFont="1" applyFill="1" applyBorder="1" applyAlignment="1">
      <alignment horizontal="center" vertical="center" wrapText="1"/>
    </xf>
    <xf numFmtId="177" fontId="1" fillId="2" borderId="0" xfId="0" applyNumberFormat="1" applyFont="1" applyFill="1" applyBorder="1" applyAlignment="1">
      <alignment horizontal="center" vertical="center" wrapText="1"/>
    </xf>
    <xf numFmtId="181" fontId="1" fillId="2" borderId="0" xfId="0" applyNumberFormat="1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14" fontId="3" fillId="4" borderId="5" xfId="0" applyNumberFormat="1" applyFont="1" applyFill="1" applyBorder="1" applyAlignment="1">
      <alignment horizontal="center" vertical="center" wrapText="1"/>
    </xf>
    <xf numFmtId="179" fontId="3" fillId="4" borderId="5" xfId="0" applyNumberFormat="1" applyFont="1" applyFill="1" applyBorder="1" applyAlignment="1">
      <alignment horizontal="center" vertical="center" wrapText="1"/>
    </xf>
    <xf numFmtId="7" fontId="3" fillId="4" borderId="5" xfId="0" applyNumberFormat="1" applyFont="1" applyFill="1" applyBorder="1" applyAlignment="1">
      <alignment horizontal="center" vertical="center" wrapText="1"/>
    </xf>
    <xf numFmtId="180" fontId="3" fillId="4" borderId="5" xfId="0" applyNumberFormat="1" applyFont="1" applyFill="1" applyBorder="1" applyAlignment="1">
      <alignment horizontal="center" vertical="center" wrapText="1"/>
    </xf>
    <xf numFmtId="8" fontId="3" fillId="4" borderId="5" xfId="0" applyNumberFormat="1" applyFont="1" applyFill="1" applyBorder="1" applyAlignment="1">
      <alignment horizontal="center" vertical="center" wrapText="1"/>
    </xf>
    <xf numFmtId="177" fontId="3" fillId="4" borderId="5" xfId="0" applyNumberFormat="1" applyFont="1" applyFill="1" applyBorder="1" applyAlignment="1">
      <alignment horizontal="center" vertical="center" wrapText="1"/>
    </xf>
    <xf numFmtId="178" fontId="3" fillId="4" borderId="5" xfId="0" applyNumberFormat="1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179" fontId="1" fillId="4" borderId="8" xfId="0" applyNumberFormat="1" applyFont="1" applyFill="1" applyBorder="1" applyAlignment="1">
      <alignment horizontal="center" vertical="center" wrapText="1"/>
    </xf>
    <xf numFmtId="7" fontId="1" fillId="4" borderId="8" xfId="0" applyNumberFormat="1" applyFont="1" applyFill="1" applyBorder="1" applyAlignment="1">
      <alignment horizontal="center" vertical="center" wrapText="1"/>
    </xf>
    <xf numFmtId="180" fontId="1" fillId="4" borderId="8" xfId="0" applyNumberFormat="1" applyFont="1" applyFill="1" applyBorder="1" applyAlignment="1">
      <alignment horizontal="center" vertical="center" wrapText="1"/>
    </xf>
    <xf numFmtId="8" fontId="1" fillId="4" borderId="8" xfId="0" applyNumberFormat="1" applyFont="1" applyFill="1" applyBorder="1" applyAlignment="1">
      <alignment horizontal="center" vertical="center" wrapText="1"/>
    </xf>
    <xf numFmtId="177" fontId="1" fillId="4" borderId="8" xfId="0" applyNumberFormat="1" applyFont="1" applyFill="1" applyBorder="1" applyAlignment="1">
      <alignment horizontal="center" vertical="center" wrapText="1"/>
    </xf>
    <xf numFmtId="178" fontId="1" fillId="4" borderId="8" xfId="0" applyNumberFormat="1" applyFont="1" applyFill="1" applyBorder="1" applyAlignment="1">
      <alignment horizontal="center" vertical="center" wrapText="1"/>
    </xf>
    <xf numFmtId="0" fontId="5" fillId="0" borderId="9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179" fontId="3" fillId="4" borderId="12" xfId="0" applyNumberFormat="1" applyFont="1" applyFill="1" applyBorder="1" applyAlignment="1">
      <alignment horizontal="center" vertical="center" wrapText="1"/>
    </xf>
    <xf numFmtId="7" fontId="3" fillId="4" borderId="12" xfId="0" applyNumberFormat="1" applyFont="1" applyFill="1" applyBorder="1" applyAlignment="1">
      <alignment horizontal="center" vertical="center" wrapText="1"/>
    </xf>
    <xf numFmtId="180" fontId="3" fillId="4" borderId="12" xfId="0" applyNumberFormat="1" applyFont="1" applyFill="1" applyBorder="1" applyAlignment="1">
      <alignment horizontal="center" vertical="center" wrapText="1"/>
    </xf>
    <xf numFmtId="8" fontId="3" fillId="4" borderId="12" xfId="0" applyNumberFormat="1" applyFont="1" applyFill="1" applyBorder="1" applyAlignment="1">
      <alignment horizontal="center" vertical="center" wrapText="1"/>
    </xf>
    <xf numFmtId="177" fontId="3" fillId="4" borderId="12" xfId="0" applyNumberFormat="1" applyFont="1" applyFill="1" applyBorder="1" applyAlignment="1">
      <alignment horizontal="center" vertical="center" wrapText="1"/>
    </xf>
    <xf numFmtId="178" fontId="3" fillId="4" borderId="12" xfId="0" applyNumberFormat="1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179" fontId="1" fillId="0" borderId="8" xfId="0" applyNumberFormat="1" applyFont="1" applyFill="1" applyBorder="1" applyAlignment="1">
      <alignment horizontal="center" vertical="center" wrapText="1"/>
    </xf>
    <xf numFmtId="7" fontId="1" fillId="0" borderId="8" xfId="0" applyNumberFormat="1" applyFont="1" applyFill="1" applyBorder="1" applyAlignment="1">
      <alignment horizontal="center" vertical="center" wrapText="1"/>
    </xf>
    <xf numFmtId="180" fontId="1" fillId="0" borderId="8" xfId="0" applyNumberFormat="1" applyFont="1" applyFill="1" applyBorder="1" applyAlignment="1">
      <alignment horizontal="center" vertical="center" wrapText="1"/>
    </xf>
    <xf numFmtId="8" fontId="1" fillId="0" borderId="8" xfId="0" applyNumberFormat="1" applyFont="1" applyFill="1" applyBorder="1" applyAlignment="1">
      <alignment horizontal="center" vertical="center" wrapText="1"/>
    </xf>
    <xf numFmtId="177" fontId="1" fillId="0" borderId="8" xfId="0" applyNumberFormat="1" applyFont="1" applyFill="1" applyBorder="1" applyAlignment="1">
      <alignment horizontal="center" vertical="center" wrapText="1"/>
    </xf>
    <xf numFmtId="178" fontId="1" fillId="0" borderId="8" xfId="0" applyNumberFormat="1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179" fontId="1" fillId="4" borderId="15" xfId="0" applyNumberFormat="1" applyFont="1" applyFill="1" applyBorder="1" applyAlignment="1">
      <alignment horizontal="center" vertical="center" wrapText="1"/>
    </xf>
    <xf numFmtId="7" fontId="1" fillId="4" borderId="15" xfId="0" applyNumberFormat="1" applyFont="1" applyFill="1" applyBorder="1" applyAlignment="1">
      <alignment horizontal="center" vertical="center" wrapText="1"/>
    </xf>
    <xf numFmtId="180" fontId="1" fillId="4" borderId="15" xfId="0" applyNumberFormat="1" applyFont="1" applyFill="1" applyBorder="1" applyAlignment="1">
      <alignment horizontal="center" vertical="center" wrapText="1"/>
    </xf>
    <xf numFmtId="8" fontId="1" fillId="4" borderId="15" xfId="0" applyNumberFormat="1" applyFont="1" applyFill="1" applyBorder="1" applyAlignment="1">
      <alignment horizontal="center" vertical="center" wrapText="1"/>
    </xf>
    <xf numFmtId="177" fontId="1" fillId="4" borderId="15" xfId="0" applyNumberFormat="1" applyFont="1" applyFill="1" applyBorder="1" applyAlignment="1">
      <alignment horizontal="center" vertical="center" wrapText="1"/>
    </xf>
    <xf numFmtId="178" fontId="1" fillId="4" borderId="15" xfId="0" applyNumberFormat="1" applyFont="1" applyFill="1" applyBorder="1" applyAlignment="1">
      <alignment horizontal="center" vertical="center" wrapText="1"/>
    </xf>
    <xf numFmtId="176" fontId="3" fillId="4" borderId="12" xfId="0" applyNumberFormat="1" applyFont="1" applyFill="1" applyBorder="1" applyAlignment="1">
      <alignment horizontal="center" vertical="center" wrapText="1"/>
    </xf>
    <xf numFmtId="176" fontId="1" fillId="0" borderId="8" xfId="0" applyNumberFormat="1" applyFont="1" applyFill="1" applyBorder="1" applyAlignment="1">
      <alignment horizontal="center" vertical="center" wrapText="1"/>
    </xf>
    <xf numFmtId="176" fontId="1" fillId="4" borderId="8" xfId="0" applyNumberFormat="1" applyFont="1" applyFill="1" applyBorder="1" applyAlignment="1">
      <alignment horizontal="center" vertical="center" wrapText="1"/>
    </xf>
    <xf numFmtId="176" fontId="1" fillId="4" borderId="15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8"/>
  <sheetViews>
    <sheetView tabSelected="1" workbookViewId="0">
      <pane xSplit="2" ySplit="1" topLeftCell="E2" activePane="bottomRight" state="frozen"/>
      <selection/>
      <selection pane="topRight"/>
      <selection pane="bottomLeft"/>
      <selection pane="bottomRight" activeCell="R8" sqref="R8"/>
    </sheetView>
  </sheetViews>
  <sheetFormatPr defaultColWidth="11.3359375" defaultRowHeight="14.6"/>
  <cols>
    <col min="1" max="1" width="12.4453125" style="5" customWidth="1"/>
    <col min="2" max="2" width="13.4921875" style="6" customWidth="1"/>
    <col min="3" max="3" width="19.0859375" style="6" customWidth="1"/>
    <col min="4" max="4" width="11.78125" style="7" customWidth="1"/>
    <col min="5" max="5" width="13.109375" style="7" customWidth="1"/>
    <col min="6" max="6" width="7.78125" style="1" customWidth="1"/>
    <col min="7" max="7" width="4.5546875" style="6" customWidth="1"/>
    <col min="8" max="8" width="9.78125" style="8" customWidth="1"/>
    <col min="9" max="9" width="8" style="9" customWidth="1"/>
    <col min="10" max="10" width="10.5546875" style="9" customWidth="1"/>
    <col min="11" max="11" width="8.890625" style="9" customWidth="1"/>
    <col min="12" max="12" width="9.78125" style="8" customWidth="1"/>
    <col min="13" max="14" width="6.4453125" style="10" customWidth="1"/>
    <col min="15" max="15" width="8" style="10" customWidth="1"/>
    <col min="16" max="16" width="8" style="11" customWidth="1"/>
    <col min="17" max="16384" width="11.3359375" style="1"/>
  </cols>
  <sheetData>
    <row r="1" ht="39" customHeight="1" spans="1:16">
      <c r="A1" s="12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3" t="s">
        <v>5</v>
      </c>
      <c r="G1" s="13" t="s">
        <v>6</v>
      </c>
      <c r="H1" s="15" t="s">
        <v>7</v>
      </c>
      <c r="I1" s="16" t="s">
        <v>8</v>
      </c>
      <c r="J1" s="16" t="s">
        <v>9</v>
      </c>
      <c r="K1" s="16" t="s">
        <v>10</v>
      </c>
      <c r="L1" s="15" t="s">
        <v>11</v>
      </c>
      <c r="M1" s="17" t="s">
        <v>12</v>
      </c>
      <c r="N1" s="17" t="s">
        <v>13</v>
      </c>
      <c r="O1" s="17" t="s">
        <v>14</v>
      </c>
      <c r="P1" s="18" t="s">
        <v>15</v>
      </c>
    </row>
    <row r="2" ht="22.5" customHeight="1" spans="1:16">
      <c r="A2" s="19" t="s">
        <v>16</v>
      </c>
      <c r="B2" s="20" t="s">
        <v>17</v>
      </c>
      <c r="C2" s="20" t="s">
        <v>18</v>
      </c>
      <c r="D2" s="21">
        <v>46061</v>
      </c>
      <c r="E2" s="22">
        <v>46135</v>
      </c>
      <c r="F2" s="23">
        <v>136</v>
      </c>
      <c r="G2" s="24">
        <v>60</v>
      </c>
      <c r="H2" s="25">
        <f t="shared" ref="H2:H65" si="0">F2*G2</f>
        <v>8160</v>
      </c>
      <c r="I2" s="23"/>
      <c r="J2" s="23">
        <v>412.5</v>
      </c>
      <c r="K2" s="23"/>
      <c r="L2" s="23">
        <f t="shared" ref="L2:L65" si="1">H2+I2+J2+K2</f>
        <v>8572.5</v>
      </c>
      <c r="M2" s="26">
        <v>0.3</v>
      </c>
      <c r="N2" s="26">
        <v>6</v>
      </c>
      <c r="O2" s="26">
        <v>24.984</v>
      </c>
      <c r="P2" s="27">
        <f t="shared" ref="P2:P65" si="2">(F2+(I2+J2+K2)/G2+M2+N2+O2)/1.8</f>
        <v>96.755</v>
      </c>
    </row>
    <row r="3" ht="22.5" customHeight="1" spans="1:16">
      <c r="A3" s="28" t="s">
        <v>19</v>
      </c>
      <c r="B3" s="29" t="s">
        <v>20</v>
      </c>
      <c r="C3" s="29" t="s">
        <v>21</v>
      </c>
      <c r="D3" s="30">
        <v>46057</v>
      </c>
      <c r="E3" s="31">
        <v>46098</v>
      </c>
      <c r="F3" s="32">
        <v>96</v>
      </c>
      <c r="G3" s="33">
        <v>23</v>
      </c>
      <c r="H3" s="34">
        <f t="shared" si="0"/>
        <v>2208</v>
      </c>
      <c r="I3" s="32">
        <v>22</v>
      </c>
      <c r="J3" s="32">
        <v>672.02</v>
      </c>
      <c r="K3" s="32"/>
      <c r="L3" s="32">
        <f t="shared" si="1"/>
        <v>2902.02</v>
      </c>
      <c r="M3" s="35">
        <v>0.3</v>
      </c>
      <c r="N3" s="35">
        <v>6</v>
      </c>
      <c r="O3" s="35">
        <v>24.984</v>
      </c>
      <c r="P3" s="36">
        <f t="shared" si="2"/>
        <v>87.4771014492754</v>
      </c>
    </row>
    <row r="4" ht="22.5" customHeight="1" spans="1:16">
      <c r="A4" s="19" t="s">
        <v>22</v>
      </c>
      <c r="B4" s="20" t="s">
        <v>23</v>
      </c>
      <c r="C4" s="20" t="s">
        <v>24</v>
      </c>
      <c r="D4" s="22">
        <v>45909</v>
      </c>
      <c r="E4" s="22">
        <v>45958</v>
      </c>
      <c r="F4" s="23">
        <v>35</v>
      </c>
      <c r="G4" s="24">
        <v>480</v>
      </c>
      <c r="H4" s="25">
        <f t="shared" si="0"/>
        <v>16800</v>
      </c>
      <c r="I4" s="23">
        <v>0</v>
      </c>
      <c r="J4" s="23">
        <f>6105+989.94</f>
        <v>7094.94</v>
      </c>
      <c r="K4" s="23">
        <v>240</v>
      </c>
      <c r="L4" s="23">
        <f t="shared" si="1"/>
        <v>24134.94</v>
      </c>
      <c r="M4" s="26">
        <v>0.3</v>
      </c>
      <c r="N4" s="26">
        <v>6</v>
      </c>
      <c r="O4" s="26">
        <v>24.984</v>
      </c>
      <c r="P4" s="27">
        <f t="shared" si="2"/>
        <v>45.3139583333333</v>
      </c>
    </row>
    <row r="5" ht="22.5" customHeight="1" spans="1:16">
      <c r="A5" s="28" t="s">
        <v>25</v>
      </c>
      <c r="B5" s="29" t="s">
        <v>26</v>
      </c>
      <c r="C5" s="29" t="s">
        <v>21</v>
      </c>
      <c r="D5" s="30">
        <v>46057</v>
      </c>
      <c r="E5" s="31">
        <v>46098</v>
      </c>
      <c r="F5" s="32">
        <v>36.8</v>
      </c>
      <c r="G5" s="33">
        <v>24</v>
      </c>
      <c r="H5" s="34">
        <f t="shared" si="0"/>
        <v>883.2</v>
      </c>
      <c r="I5" s="32">
        <v>22</v>
      </c>
      <c r="J5" s="32">
        <v>104.64</v>
      </c>
      <c r="K5" s="32"/>
      <c r="L5" s="32">
        <f t="shared" si="1"/>
        <v>1009.84</v>
      </c>
      <c r="M5" s="35">
        <v>0.3</v>
      </c>
      <c r="N5" s="35">
        <v>6</v>
      </c>
      <c r="O5" s="35">
        <v>24.984</v>
      </c>
      <c r="P5" s="36">
        <f t="shared" si="2"/>
        <v>40.7559259259259</v>
      </c>
    </row>
    <row r="6" s="1" customFormat="1" ht="22.5" customHeight="1" spans="1:16">
      <c r="A6" s="19" t="s">
        <v>27</v>
      </c>
      <c r="B6" s="20" t="s">
        <v>28</v>
      </c>
      <c r="C6" s="20" t="s">
        <v>29</v>
      </c>
      <c r="D6" s="21">
        <v>46059</v>
      </c>
      <c r="E6" s="22">
        <v>46140</v>
      </c>
      <c r="F6" s="23">
        <v>65</v>
      </c>
      <c r="G6" s="24">
        <v>100</v>
      </c>
      <c r="H6" s="25">
        <f t="shared" si="0"/>
        <v>6500</v>
      </c>
      <c r="I6" s="23">
        <v>296</v>
      </c>
      <c r="J6" s="23">
        <v>5139.41</v>
      </c>
      <c r="K6" s="23"/>
      <c r="L6" s="23">
        <f t="shared" si="1"/>
        <v>11935.41</v>
      </c>
      <c r="M6" s="26">
        <v>4</v>
      </c>
      <c r="N6" s="26">
        <v>6</v>
      </c>
      <c r="O6" s="26">
        <v>24.984</v>
      </c>
      <c r="P6" s="27">
        <f t="shared" si="2"/>
        <v>85.7433888888889</v>
      </c>
    </row>
    <row r="7" ht="22.5" customHeight="1" spans="1:16">
      <c r="A7" s="28" t="s">
        <v>30</v>
      </c>
      <c r="B7" s="29" t="s">
        <v>31</v>
      </c>
      <c r="C7" s="29" t="s">
        <v>32</v>
      </c>
      <c r="D7" s="31">
        <v>45669</v>
      </c>
      <c r="E7" s="31">
        <v>46075</v>
      </c>
      <c r="F7" s="32">
        <v>103</v>
      </c>
      <c r="G7" s="33">
        <v>200</v>
      </c>
      <c r="H7" s="34">
        <f t="shared" si="0"/>
        <v>20600</v>
      </c>
      <c r="I7" s="32"/>
      <c r="J7" s="32">
        <v>796.67</v>
      </c>
      <c r="K7" s="32"/>
      <c r="L7" s="32">
        <f t="shared" si="1"/>
        <v>21396.67</v>
      </c>
      <c r="M7" s="35">
        <v>0.3</v>
      </c>
      <c r="N7" s="35">
        <v>6</v>
      </c>
      <c r="O7" s="35">
        <v>24.984</v>
      </c>
      <c r="P7" s="36">
        <f t="shared" si="2"/>
        <v>76.8151944444444</v>
      </c>
    </row>
    <row r="8" ht="22.5" customHeight="1" spans="1:16">
      <c r="A8" s="19" t="s">
        <v>33</v>
      </c>
      <c r="B8" s="20" t="s">
        <v>34</v>
      </c>
      <c r="C8" s="20" t="s">
        <v>35</v>
      </c>
      <c r="D8" s="21">
        <v>46040</v>
      </c>
      <c r="E8" s="22">
        <v>46082</v>
      </c>
      <c r="F8" s="23">
        <v>35.5</v>
      </c>
      <c r="G8" s="20">
        <v>360</v>
      </c>
      <c r="H8" s="25">
        <f t="shared" si="0"/>
        <v>12780</v>
      </c>
      <c r="I8" s="23"/>
      <c r="J8" s="23">
        <v>3985.97</v>
      </c>
      <c r="K8" s="23"/>
      <c r="L8" s="23">
        <f t="shared" si="1"/>
        <v>16765.97</v>
      </c>
      <c r="M8" s="26">
        <v>0.3</v>
      </c>
      <c r="N8" s="26">
        <v>6</v>
      </c>
      <c r="O8" s="26">
        <v>24.984</v>
      </c>
      <c r="P8" s="27">
        <f t="shared" si="2"/>
        <v>43.2534104938272</v>
      </c>
    </row>
    <row r="9" ht="22.5" customHeight="1" spans="1:16">
      <c r="A9" s="28" t="s">
        <v>33</v>
      </c>
      <c r="B9" s="29" t="s">
        <v>34</v>
      </c>
      <c r="C9" s="29" t="s">
        <v>36</v>
      </c>
      <c r="D9" s="30">
        <v>46140</v>
      </c>
      <c r="E9" s="31"/>
      <c r="F9" s="32">
        <v>35.5</v>
      </c>
      <c r="G9" s="29">
        <v>180</v>
      </c>
      <c r="H9" s="34">
        <f t="shared" si="0"/>
        <v>6390</v>
      </c>
      <c r="I9" s="32"/>
      <c r="J9" s="32"/>
      <c r="K9" s="32"/>
      <c r="L9" s="32">
        <f t="shared" si="1"/>
        <v>6390</v>
      </c>
      <c r="M9" s="35">
        <v>0.3</v>
      </c>
      <c r="N9" s="35">
        <v>6</v>
      </c>
      <c r="O9" s="35">
        <v>24.984</v>
      </c>
      <c r="P9" s="36">
        <f t="shared" si="2"/>
        <v>37.1022222222222</v>
      </c>
    </row>
    <row r="10" ht="22.5" customHeight="1" spans="1:16">
      <c r="A10" s="19" t="s">
        <v>37</v>
      </c>
      <c r="B10" s="20" t="s">
        <v>34</v>
      </c>
      <c r="C10" s="20" t="s">
        <v>38</v>
      </c>
      <c r="D10" s="22">
        <v>45952</v>
      </c>
      <c r="E10" s="22">
        <v>45994</v>
      </c>
      <c r="F10" s="23">
        <v>35.5</v>
      </c>
      <c r="G10" s="24">
        <v>200</v>
      </c>
      <c r="H10" s="25">
        <f t="shared" si="0"/>
        <v>7100</v>
      </c>
      <c r="I10" s="23"/>
      <c r="J10" s="23">
        <v>2520.15</v>
      </c>
      <c r="K10" s="23"/>
      <c r="L10" s="23">
        <f t="shared" si="1"/>
        <v>9620.15</v>
      </c>
      <c r="M10" s="26">
        <v>0.3</v>
      </c>
      <c r="N10" s="26">
        <v>6</v>
      </c>
      <c r="O10" s="26">
        <v>24.984</v>
      </c>
      <c r="P10" s="27">
        <f t="shared" si="2"/>
        <v>44.1026388888889</v>
      </c>
    </row>
    <row r="11" ht="22.5" customHeight="1" spans="1:16">
      <c r="A11" s="28" t="s">
        <v>39</v>
      </c>
      <c r="B11" s="29" t="s">
        <v>40</v>
      </c>
      <c r="C11" s="29" t="s">
        <v>41</v>
      </c>
      <c r="D11" s="31">
        <v>45905</v>
      </c>
      <c r="E11" s="31">
        <v>45958</v>
      </c>
      <c r="F11" s="32">
        <v>90</v>
      </c>
      <c r="G11" s="33">
        <v>300</v>
      </c>
      <c r="H11" s="34">
        <f t="shared" si="0"/>
        <v>27000</v>
      </c>
      <c r="I11" s="32">
        <v>373.04</v>
      </c>
      <c r="J11" s="32">
        <v>8070</v>
      </c>
      <c r="K11" s="32">
        <f>850+150</f>
        <v>1000</v>
      </c>
      <c r="L11" s="32">
        <f t="shared" si="1"/>
        <v>36443.04</v>
      </c>
      <c r="M11" s="35">
        <v>0.3</v>
      </c>
      <c r="N11" s="35">
        <v>6</v>
      </c>
      <c r="O11" s="35">
        <v>24.984</v>
      </c>
      <c r="P11" s="36">
        <f t="shared" si="2"/>
        <v>84.8671111111111</v>
      </c>
    </row>
    <row r="12" ht="22.5" customHeight="1" spans="1:16">
      <c r="A12" s="19" t="s">
        <v>39</v>
      </c>
      <c r="B12" s="20" t="s">
        <v>40</v>
      </c>
      <c r="C12" s="20" t="s">
        <v>42</v>
      </c>
      <c r="D12" s="22">
        <v>45943</v>
      </c>
      <c r="E12" s="22">
        <v>45990</v>
      </c>
      <c r="F12" s="23">
        <v>91</v>
      </c>
      <c r="G12" s="24">
        <v>90</v>
      </c>
      <c r="H12" s="25">
        <f t="shared" si="0"/>
        <v>8190</v>
      </c>
      <c r="I12" s="23">
        <v>242.4</v>
      </c>
      <c r="J12" s="23">
        <v>3047.14</v>
      </c>
      <c r="K12" s="23">
        <v>255</v>
      </c>
      <c r="L12" s="23">
        <f t="shared" si="1"/>
        <v>11734.54</v>
      </c>
      <c r="M12" s="26">
        <v>0.3</v>
      </c>
      <c r="N12" s="26">
        <v>6</v>
      </c>
      <c r="O12" s="26">
        <v>24.984</v>
      </c>
      <c r="P12" s="27">
        <f t="shared" si="2"/>
        <v>89.8154320987654</v>
      </c>
    </row>
    <row r="13" ht="22.5" customHeight="1" spans="1:16">
      <c r="A13" s="28" t="s">
        <v>39</v>
      </c>
      <c r="B13" s="29" t="s">
        <v>40</v>
      </c>
      <c r="C13" s="29" t="s">
        <v>43</v>
      </c>
      <c r="D13" s="30">
        <v>46031</v>
      </c>
      <c r="E13" s="31">
        <v>46075</v>
      </c>
      <c r="F13" s="32">
        <v>91</v>
      </c>
      <c r="G13" s="33">
        <v>180</v>
      </c>
      <c r="H13" s="34">
        <f t="shared" si="0"/>
        <v>16380</v>
      </c>
      <c r="I13" s="32">
        <v>368.78</v>
      </c>
      <c r="J13" s="32">
        <v>4782.45</v>
      </c>
      <c r="K13" s="32">
        <v>510</v>
      </c>
      <c r="L13" s="32">
        <f t="shared" si="1"/>
        <v>22041.23</v>
      </c>
      <c r="M13" s="35">
        <v>0.3</v>
      </c>
      <c r="N13" s="35">
        <v>6</v>
      </c>
      <c r="O13" s="35">
        <v>24.984</v>
      </c>
      <c r="P13" s="36">
        <f t="shared" si="2"/>
        <v>85.408487654321</v>
      </c>
    </row>
    <row r="14" ht="22.5" customHeight="1" spans="1:16">
      <c r="A14" s="19" t="s">
        <v>44</v>
      </c>
      <c r="B14" s="20" t="s">
        <v>45</v>
      </c>
      <c r="C14" s="20" t="s">
        <v>46</v>
      </c>
      <c r="D14" s="22">
        <v>45927</v>
      </c>
      <c r="E14" s="22">
        <v>45971</v>
      </c>
      <c r="F14" s="23">
        <v>34.3</v>
      </c>
      <c r="G14" s="24">
        <v>240</v>
      </c>
      <c r="H14" s="25">
        <f t="shared" si="0"/>
        <v>8232</v>
      </c>
      <c r="I14" s="23">
        <v>240</v>
      </c>
      <c r="J14" s="23">
        <v>4875.07</v>
      </c>
      <c r="K14" s="23"/>
      <c r="L14" s="23">
        <f t="shared" si="1"/>
        <v>13347.07</v>
      </c>
      <c r="M14" s="26">
        <v>0.3</v>
      </c>
      <c r="N14" s="26">
        <v>6</v>
      </c>
      <c r="O14" s="26">
        <v>24.984</v>
      </c>
      <c r="P14" s="27">
        <f t="shared" si="2"/>
        <v>48.2759953703704</v>
      </c>
    </row>
    <row r="15" ht="22.5" customHeight="1" spans="1:16">
      <c r="A15" s="28" t="s">
        <v>44</v>
      </c>
      <c r="B15" s="29" t="s">
        <v>45</v>
      </c>
      <c r="C15" s="29" t="s">
        <v>47</v>
      </c>
      <c r="D15" s="31">
        <v>46000</v>
      </c>
      <c r="E15" s="31">
        <v>46035</v>
      </c>
      <c r="F15" s="32">
        <v>34.3</v>
      </c>
      <c r="G15" s="33">
        <v>360</v>
      </c>
      <c r="H15" s="34">
        <f t="shared" si="0"/>
        <v>12348</v>
      </c>
      <c r="I15" s="32">
        <v>692</v>
      </c>
      <c r="J15" s="32">
        <v>5891.21</v>
      </c>
      <c r="K15" s="29"/>
      <c r="L15" s="32">
        <f t="shared" si="1"/>
        <v>18931.21</v>
      </c>
      <c r="M15" s="35">
        <v>0.3</v>
      </c>
      <c r="N15" s="35">
        <v>6</v>
      </c>
      <c r="O15" s="35">
        <v>24.984</v>
      </c>
      <c r="P15" s="36">
        <f t="shared" si="2"/>
        <v>46.5948302469136</v>
      </c>
    </row>
    <row r="16" ht="22.5" customHeight="1" spans="1:16">
      <c r="A16" s="19" t="s">
        <v>44</v>
      </c>
      <c r="B16" s="20" t="s">
        <v>45</v>
      </c>
      <c r="C16" s="20" t="s">
        <v>48</v>
      </c>
      <c r="D16" s="21">
        <v>46030</v>
      </c>
      <c r="E16" s="22">
        <v>46068</v>
      </c>
      <c r="F16" s="23">
        <v>34.3</v>
      </c>
      <c r="G16" s="24">
        <v>240</v>
      </c>
      <c r="H16" s="25">
        <f t="shared" si="0"/>
        <v>8232</v>
      </c>
      <c r="I16" s="23">
        <v>118.48</v>
      </c>
      <c r="J16" s="23">
        <v>4270.34</v>
      </c>
      <c r="K16" s="23"/>
      <c r="L16" s="23">
        <f t="shared" si="1"/>
        <v>12620.82</v>
      </c>
      <c r="M16" s="26">
        <v>0.3</v>
      </c>
      <c r="N16" s="26">
        <v>6</v>
      </c>
      <c r="O16" s="26">
        <v>24.984</v>
      </c>
      <c r="P16" s="27">
        <f t="shared" si="2"/>
        <v>46.5948611111111</v>
      </c>
    </row>
    <row r="17" s="1" customFormat="1" ht="22.5" customHeight="1" spans="1:16">
      <c r="A17" s="28" t="s">
        <v>44</v>
      </c>
      <c r="B17" s="29" t="s">
        <v>45</v>
      </c>
      <c r="C17" s="29" t="s">
        <v>49</v>
      </c>
      <c r="D17" s="30">
        <v>46055</v>
      </c>
      <c r="E17" s="31">
        <v>46132</v>
      </c>
      <c r="F17" s="32">
        <v>34.3</v>
      </c>
      <c r="G17" s="33">
        <v>414</v>
      </c>
      <c r="H17" s="34">
        <f t="shared" si="0"/>
        <v>14200.2</v>
      </c>
      <c r="I17" s="32">
        <v>998</v>
      </c>
      <c r="J17" s="32">
        <v>7683.71</v>
      </c>
      <c r="K17" s="32"/>
      <c r="L17" s="32">
        <f t="shared" si="1"/>
        <v>22881.91</v>
      </c>
      <c r="M17" s="35">
        <v>0.3</v>
      </c>
      <c r="N17" s="35">
        <v>6</v>
      </c>
      <c r="O17" s="35">
        <v>24.984</v>
      </c>
      <c r="P17" s="36">
        <f t="shared" si="2"/>
        <v>48.0857300053677</v>
      </c>
    </row>
    <row r="18" ht="22.5" customHeight="1" spans="1:16">
      <c r="A18" s="19" t="s">
        <v>44</v>
      </c>
      <c r="B18" s="20" t="s">
        <v>45</v>
      </c>
      <c r="C18" s="20" t="s">
        <v>21</v>
      </c>
      <c r="D18" s="21">
        <v>46057</v>
      </c>
      <c r="E18" s="22">
        <v>46098</v>
      </c>
      <c r="F18" s="23">
        <v>33.4</v>
      </c>
      <c r="G18" s="24">
        <v>21</v>
      </c>
      <c r="H18" s="25">
        <f t="shared" si="0"/>
        <v>701.4</v>
      </c>
      <c r="I18" s="23">
        <v>22</v>
      </c>
      <c r="J18" s="23">
        <v>397.38</v>
      </c>
      <c r="K18" s="23"/>
      <c r="L18" s="23">
        <f t="shared" si="1"/>
        <v>1120.78</v>
      </c>
      <c r="M18" s="26">
        <v>0.3</v>
      </c>
      <c r="N18" s="26">
        <v>6</v>
      </c>
      <c r="O18" s="26">
        <v>24.984</v>
      </c>
      <c r="P18" s="27">
        <f t="shared" si="2"/>
        <v>47.0302645502645</v>
      </c>
    </row>
    <row r="19" ht="22.5" customHeight="1" spans="1:16">
      <c r="A19" s="28" t="s">
        <v>50</v>
      </c>
      <c r="B19" s="29" t="s">
        <v>51</v>
      </c>
      <c r="C19" s="29" t="s">
        <v>52</v>
      </c>
      <c r="D19" s="31">
        <v>45952</v>
      </c>
      <c r="E19" s="31">
        <v>45994</v>
      </c>
      <c r="F19" s="32">
        <v>72.9</v>
      </c>
      <c r="G19" s="33">
        <v>150</v>
      </c>
      <c r="H19" s="34">
        <f t="shared" si="0"/>
        <v>10935</v>
      </c>
      <c r="I19" s="32"/>
      <c r="J19" s="32">
        <v>3956.93</v>
      </c>
      <c r="K19" s="32"/>
      <c r="L19" s="32">
        <f t="shared" si="1"/>
        <v>14891.93</v>
      </c>
      <c r="M19" s="35">
        <v>0.3</v>
      </c>
      <c r="N19" s="35">
        <v>6</v>
      </c>
      <c r="O19" s="35">
        <v>24.984</v>
      </c>
      <c r="P19" s="36">
        <f t="shared" si="2"/>
        <v>72.5352962962963</v>
      </c>
    </row>
    <row r="20" ht="22.5" customHeight="1" spans="1:16">
      <c r="A20" s="19" t="s">
        <v>50</v>
      </c>
      <c r="B20" s="20" t="s">
        <v>51</v>
      </c>
      <c r="C20" s="20" t="s">
        <v>53</v>
      </c>
      <c r="D20" s="21">
        <v>46040</v>
      </c>
      <c r="E20" s="22">
        <v>46082</v>
      </c>
      <c r="F20" s="23">
        <v>72.9</v>
      </c>
      <c r="G20" s="20">
        <v>240</v>
      </c>
      <c r="H20" s="25">
        <f t="shared" si="0"/>
        <v>17496</v>
      </c>
      <c r="I20" s="23"/>
      <c r="J20" s="23">
        <v>5470.56</v>
      </c>
      <c r="K20" s="23"/>
      <c r="L20" s="23">
        <f t="shared" si="1"/>
        <v>22966.56</v>
      </c>
      <c r="M20" s="26">
        <v>0.3</v>
      </c>
      <c r="N20" s="26">
        <v>6</v>
      </c>
      <c r="O20" s="26">
        <v>24.984</v>
      </c>
      <c r="P20" s="27">
        <f t="shared" si="2"/>
        <v>70.5433333333333</v>
      </c>
    </row>
    <row r="21" ht="22.5" customHeight="1" spans="1:16">
      <c r="A21" s="28" t="s">
        <v>50</v>
      </c>
      <c r="B21" s="29" t="s">
        <v>51</v>
      </c>
      <c r="C21" s="29" t="s">
        <v>21</v>
      </c>
      <c r="D21" s="30">
        <v>46057</v>
      </c>
      <c r="E21" s="31">
        <v>46098</v>
      </c>
      <c r="F21" s="32">
        <v>72.9</v>
      </c>
      <c r="G21" s="33">
        <v>24</v>
      </c>
      <c r="H21" s="34">
        <f t="shared" si="0"/>
        <v>1749.6</v>
      </c>
      <c r="I21" s="32">
        <v>22</v>
      </c>
      <c r="J21" s="32">
        <v>547.98</v>
      </c>
      <c r="K21" s="32"/>
      <c r="L21" s="32">
        <f t="shared" si="1"/>
        <v>2319.58</v>
      </c>
      <c r="M21" s="35">
        <v>0.3</v>
      </c>
      <c r="N21" s="35">
        <v>6</v>
      </c>
      <c r="O21" s="35">
        <v>24.984</v>
      </c>
      <c r="P21" s="36">
        <f t="shared" si="2"/>
        <v>71.0739814814815</v>
      </c>
    </row>
    <row r="22" ht="22.5" customHeight="1" spans="1:16">
      <c r="A22" s="19" t="s">
        <v>54</v>
      </c>
      <c r="B22" s="20" t="s">
        <v>55</v>
      </c>
      <c r="C22" s="20" t="s">
        <v>56</v>
      </c>
      <c r="D22" s="21">
        <v>46063</v>
      </c>
      <c r="E22" s="22">
        <v>46135</v>
      </c>
      <c r="F22" s="23">
        <v>270</v>
      </c>
      <c r="G22" s="24">
        <v>40</v>
      </c>
      <c r="H22" s="25">
        <f t="shared" si="0"/>
        <v>10800</v>
      </c>
      <c r="I22" s="23">
        <v>131.33</v>
      </c>
      <c r="J22" s="23">
        <v>1793.71</v>
      </c>
      <c r="K22" s="23"/>
      <c r="L22" s="23">
        <f t="shared" si="1"/>
        <v>12725.04</v>
      </c>
      <c r="M22" s="26">
        <v>4</v>
      </c>
      <c r="N22" s="26">
        <v>6</v>
      </c>
      <c r="O22" s="26">
        <v>24.984</v>
      </c>
      <c r="P22" s="27">
        <f t="shared" si="2"/>
        <v>196.172222222222</v>
      </c>
    </row>
    <row r="23" s="2" customFormat="1" ht="22.5" customHeight="1" spans="1:16">
      <c r="A23" s="28" t="s">
        <v>54</v>
      </c>
      <c r="B23" s="29" t="s">
        <v>55</v>
      </c>
      <c r="C23" s="29" t="s">
        <v>57</v>
      </c>
      <c r="D23" s="30"/>
      <c r="E23" s="31"/>
      <c r="F23" s="32">
        <v>270</v>
      </c>
      <c r="G23" s="33">
        <v>100</v>
      </c>
      <c r="H23" s="34">
        <f t="shared" si="0"/>
        <v>27000</v>
      </c>
      <c r="I23" s="32"/>
      <c r="J23" s="32"/>
      <c r="K23" s="32"/>
      <c r="L23" s="32">
        <f t="shared" si="1"/>
        <v>27000</v>
      </c>
      <c r="M23" s="35">
        <v>0.3</v>
      </c>
      <c r="N23" s="35">
        <v>6</v>
      </c>
      <c r="O23" s="35">
        <v>24.984</v>
      </c>
      <c r="P23" s="36">
        <f t="shared" si="2"/>
        <v>167.38</v>
      </c>
    </row>
    <row r="24" s="3" customFormat="1" ht="22.5" customHeight="1" spans="1:16">
      <c r="A24" s="19" t="s">
        <v>58</v>
      </c>
      <c r="B24" s="20" t="s">
        <v>59</v>
      </c>
      <c r="C24" s="20" t="s">
        <v>60</v>
      </c>
      <c r="D24" s="22">
        <v>45987</v>
      </c>
      <c r="E24" s="22">
        <v>46028</v>
      </c>
      <c r="F24" s="23">
        <v>263.5</v>
      </c>
      <c r="G24" s="24">
        <v>120</v>
      </c>
      <c r="H24" s="25">
        <f t="shared" si="0"/>
        <v>31620</v>
      </c>
      <c r="I24" s="23"/>
      <c r="J24" s="23">
        <v>4317.1</v>
      </c>
      <c r="K24" s="23"/>
      <c r="L24" s="23">
        <f t="shared" si="1"/>
        <v>35937.1</v>
      </c>
      <c r="M24" s="26">
        <v>0.3</v>
      </c>
      <c r="N24" s="26">
        <v>6</v>
      </c>
      <c r="O24" s="26">
        <v>24.984</v>
      </c>
      <c r="P24" s="27">
        <f t="shared" si="2"/>
        <v>183.755462962963</v>
      </c>
    </row>
    <row r="25" ht="22.5" customHeight="1" spans="1:16">
      <c r="A25" s="28" t="s">
        <v>58</v>
      </c>
      <c r="B25" s="29" t="s">
        <v>59</v>
      </c>
      <c r="C25" s="29" t="s">
        <v>61</v>
      </c>
      <c r="D25" s="30">
        <v>46040</v>
      </c>
      <c r="E25" s="31">
        <v>46082</v>
      </c>
      <c r="F25" s="32">
        <v>263.5</v>
      </c>
      <c r="G25" s="29">
        <v>96</v>
      </c>
      <c r="H25" s="34">
        <f t="shared" si="0"/>
        <v>25296</v>
      </c>
      <c r="I25" s="32"/>
      <c r="J25" s="32">
        <v>2974.34</v>
      </c>
      <c r="K25" s="32"/>
      <c r="L25" s="32">
        <f t="shared" si="1"/>
        <v>28270.34</v>
      </c>
      <c r="M25" s="35">
        <v>0.3</v>
      </c>
      <c r="N25" s="35">
        <v>6</v>
      </c>
      <c r="O25" s="35">
        <v>24.984</v>
      </c>
      <c r="P25" s="36">
        <f t="shared" si="2"/>
        <v>180.98150462963</v>
      </c>
    </row>
    <row r="26" ht="22.5" customHeight="1" spans="1:16">
      <c r="A26" s="37" t="s">
        <v>62</v>
      </c>
      <c r="B26" s="38" t="s">
        <v>63</v>
      </c>
      <c r="C26" s="20" t="s">
        <v>64</v>
      </c>
      <c r="D26" s="21">
        <v>46060</v>
      </c>
      <c r="E26" s="22">
        <v>46143</v>
      </c>
      <c r="F26" s="23">
        <v>180.6</v>
      </c>
      <c r="G26" s="24">
        <v>40</v>
      </c>
      <c r="H26" s="25">
        <f t="shared" si="0"/>
        <v>7224</v>
      </c>
      <c r="I26" s="23">
        <v>40</v>
      </c>
      <c r="J26" s="23">
        <v>1350.11</v>
      </c>
      <c r="K26" s="23"/>
      <c r="L26" s="23">
        <f t="shared" si="1"/>
        <v>8614.11</v>
      </c>
      <c r="M26" s="26">
        <v>4</v>
      </c>
      <c r="N26" s="26">
        <v>6</v>
      </c>
      <c r="O26" s="26">
        <v>24.984</v>
      </c>
      <c r="P26" s="27">
        <f t="shared" si="2"/>
        <v>139.075972222222</v>
      </c>
    </row>
    <row r="27" ht="22.5" customHeight="1" spans="1:16">
      <c r="A27" s="28" t="s">
        <v>65</v>
      </c>
      <c r="B27" s="39" t="s">
        <v>66</v>
      </c>
      <c r="C27" s="29" t="s">
        <v>21</v>
      </c>
      <c r="D27" s="30">
        <v>46057</v>
      </c>
      <c r="E27" s="31">
        <v>46098</v>
      </c>
      <c r="F27" s="32">
        <v>106.5</v>
      </c>
      <c r="G27" s="33">
        <v>17</v>
      </c>
      <c r="H27" s="34">
        <f t="shared" si="0"/>
        <v>1810.5</v>
      </c>
      <c r="I27" s="32">
        <v>22</v>
      </c>
      <c r="J27" s="32">
        <v>637.58</v>
      </c>
      <c r="K27" s="32"/>
      <c r="L27" s="32">
        <f t="shared" si="1"/>
        <v>2470.08</v>
      </c>
      <c r="M27" s="35">
        <v>0.3</v>
      </c>
      <c r="N27" s="35">
        <v>6</v>
      </c>
      <c r="O27" s="35">
        <v>24.984</v>
      </c>
      <c r="P27" s="36">
        <f t="shared" si="2"/>
        <v>98.101568627451</v>
      </c>
    </row>
    <row r="28" ht="22.5" customHeight="1" spans="1:16">
      <c r="A28" s="19" t="s">
        <v>67</v>
      </c>
      <c r="B28" s="20" t="s">
        <v>68</v>
      </c>
      <c r="C28" s="20" t="s">
        <v>69</v>
      </c>
      <c r="D28" s="22">
        <v>45945</v>
      </c>
      <c r="E28" s="22">
        <v>45991</v>
      </c>
      <c r="F28" s="23">
        <v>33</v>
      </c>
      <c r="G28" s="24">
        <v>150</v>
      </c>
      <c r="H28" s="25">
        <f t="shared" si="0"/>
        <v>4950</v>
      </c>
      <c r="I28" s="23"/>
      <c r="J28" s="23">
        <v>1140.8</v>
      </c>
      <c r="K28" s="23"/>
      <c r="L28" s="23">
        <f t="shared" si="1"/>
        <v>6090.8</v>
      </c>
      <c r="M28" s="26">
        <v>0.3</v>
      </c>
      <c r="N28" s="26">
        <v>6</v>
      </c>
      <c r="O28" s="26">
        <v>24.984</v>
      </c>
      <c r="P28" s="27">
        <f t="shared" si="2"/>
        <v>39.9385185185185</v>
      </c>
    </row>
    <row r="29" ht="22.5" customHeight="1" spans="1:16">
      <c r="A29" s="28" t="s">
        <v>67</v>
      </c>
      <c r="B29" s="29" t="s">
        <v>68</v>
      </c>
      <c r="C29" s="29" t="s">
        <v>70</v>
      </c>
      <c r="D29" s="31">
        <v>46030</v>
      </c>
      <c r="E29" s="31">
        <v>46075</v>
      </c>
      <c r="F29" s="32">
        <v>33</v>
      </c>
      <c r="G29" s="33">
        <v>300</v>
      </c>
      <c r="H29" s="34">
        <f t="shared" si="0"/>
        <v>9900</v>
      </c>
      <c r="I29" s="32"/>
      <c r="J29" s="32">
        <v>1983.19</v>
      </c>
      <c r="K29" s="32"/>
      <c r="L29" s="32">
        <f t="shared" si="1"/>
        <v>11883.19</v>
      </c>
      <c r="M29" s="35">
        <v>0.3</v>
      </c>
      <c r="N29" s="35">
        <v>6</v>
      </c>
      <c r="O29" s="35">
        <v>24.984</v>
      </c>
      <c r="P29" s="36">
        <f t="shared" si="2"/>
        <v>39.3859074074074</v>
      </c>
    </row>
    <row r="30" ht="22.5" customHeight="1" spans="1:16">
      <c r="A30" s="19" t="s">
        <v>67</v>
      </c>
      <c r="B30" s="20" t="s">
        <v>68</v>
      </c>
      <c r="C30" s="20" t="s">
        <v>71</v>
      </c>
      <c r="D30" s="21">
        <v>46040</v>
      </c>
      <c r="E30" s="22">
        <v>46082</v>
      </c>
      <c r="F30" s="23">
        <v>33</v>
      </c>
      <c r="G30" s="20">
        <v>240</v>
      </c>
      <c r="H30" s="25">
        <f t="shared" si="0"/>
        <v>7920</v>
      </c>
      <c r="I30" s="23"/>
      <c r="J30" s="23">
        <v>1647.31</v>
      </c>
      <c r="K30" s="23"/>
      <c r="L30" s="23">
        <f t="shared" si="1"/>
        <v>9567.31</v>
      </c>
      <c r="M30" s="26">
        <v>0.3</v>
      </c>
      <c r="N30" s="26">
        <v>6</v>
      </c>
      <c r="O30" s="26">
        <v>24.984</v>
      </c>
      <c r="P30" s="27">
        <f t="shared" si="2"/>
        <v>39.5265509259259</v>
      </c>
    </row>
    <row r="31" ht="22.5" customHeight="1" spans="1:16">
      <c r="A31" s="28" t="s">
        <v>72</v>
      </c>
      <c r="B31" s="29" t="s">
        <v>68</v>
      </c>
      <c r="C31" s="29" t="s">
        <v>73</v>
      </c>
      <c r="D31" s="31">
        <v>45952</v>
      </c>
      <c r="E31" s="31">
        <v>45994</v>
      </c>
      <c r="F31" s="32">
        <v>52</v>
      </c>
      <c r="G31" s="33">
        <v>160</v>
      </c>
      <c r="H31" s="34">
        <f t="shared" si="0"/>
        <v>8320</v>
      </c>
      <c r="I31" s="32"/>
      <c r="J31" s="32">
        <v>1365.23</v>
      </c>
      <c r="K31" s="32"/>
      <c r="L31" s="32">
        <f t="shared" si="1"/>
        <v>9685.23</v>
      </c>
      <c r="M31" s="35">
        <v>0.3</v>
      </c>
      <c r="N31" s="35">
        <v>6</v>
      </c>
      <c r="O31" s="35">
        <v>24.984</v>
      </c>
      <c r="P31" s="36">
        <f t="shared" si="2"/>
        <v>51.0092708333333</v>
      </c>
    </row>
    <row r="32" s="1" customFormat="1" ht="22.5" customHeight="1" spans="1:16">
      <c r="A32" s="37" t="s">
        <v>74</v>
      </c>
      <c r="B32" s="38" t="s">
        <v>75</v>
      </c>
      <c r="C32" s="20" t="s">
        <v>76</v>
      </c>
      <c r="D32" s="21">
        <v>46060</v>
      </c>
      <c r="E32" s="22">
        <v>46143</v>
      </c>
      <c r="F32" s="23">
        <v>120.5</v>
      </c>
      <c r="G32" s="24">
        <v>38</v>
      </c>
      <c r="H32" s="25">
        <f t="shared" si="0"/>
        <v>4579</v>
      </c>
      <c r="I32" s="23">
        <v>40</v>
      </c>
      <c r="J32" s="23">
        <v>2224.25</v>
      </c>
      <c r="K32" s="23"/>
      <c r="L32" s="23">
        <f t="shared" si="1"/>
        <v>6843.25</v>
      </c>
      <c r="M32" s="26">
        <v>0.3</v>
      </c>
      <c r="N32" s="26">
        <v>6</v>
      </c>
      <c r="O32" s="26">
        <v>24.984</v>
      </c>
      <c r="P32" s="27">
        <f t="shared" si="2"/>
        <v>117.427514619883</v>
      </c>
    </row>
    <row r="33" s="1" customFormat="1" ht="22.5" customHeight="1" spans="1:16">
      <c r="A33" s="40" t="s">
        <v>77</v>
      </c>
      <c r="B33" s="41" t="s">
        <v>75</v>
      </c>
      <c r="C33" s="29" t="s">
        <v>78</v>
      </c>
      <c r="D33" s="30">
        <v>46060</v>
      </c>
      <c r="E33" s="31">
        <v>46143</v>
      </c>
      <c r="F33" s="32">
        <v>140.4</v>
      </c>
      <c r="G33" s="33">
        <v>31</v>
      </c>
      <c r="H33" s="34">
        <f t="shared" si="0"/>
        <v>4352.4</v>
      </c>
      <c r="I33" s="32">
        <v>40</v>
      </c>
      <c r="J33" s="32">
        <v>1812.83</v>
      </c>
      <c r="K33" s="32"/>
      <c r="L33" s="32">
        <f t="shared" si="1"/>
        <v>6205.23</v>
      </c>
      <c r="M33" s="35">
        <v>4</v>
      </c>
      <c r="N33" s="35">
        <v>6</v>
      </c>
      <c r="O33" s="35">
        <v>24.984</v>
      </c>
      <c r="P33" s="36">
        <f t="shared" si="2"/>
        <v>130.640394265233</v>
      </c>
    </row>
    <row r="34" s="1" customFormat="1" ht="22.5" customHeight="1" spans="1:16">
      <c r="A34" s="19" t="s">
        <v>79</v>
      </c>
      <c r="B34" s="20" t="s">
        <v>75</v>
      </c>
      <c r="C34" s="20" t="s">
        <v>80</v>
      </c>
      <c r="D34" s="21">
        <v>46140</v>
      </c>
      <c r="E34" s="22"/>
      <c r="F34" s="23">
        <v>109</v>
      </c>
      <c r="G34" s="20">
        <v>120</v>
      </c>
      <c r="H34" s="25">
        <f t="shared" si="0"/>
        <v>13080</v>
      </c>
      <c r="I34" s="23"/>
      <c r="J34" s="23"/>
      <c r="K34" s="23"/>
      <c r="L34" s="23">
        <f t="shared" si="1"/>
        <v>13080</v>
      </c>
      <c r="M34" s="26">
        <v>0.3</v>
      </c>
      <c r="N34" s="26">
        <v>6</v>
      </c>
      <c r="O34" s="26">
        <v>24.984</v>
      </c>
      <c r="P34" s="27">
        <f t="shared" si="2"/>
        <v>77.9355555555556</v>
      </c>
    </row>
    <row r="35" s="1" customFormat="1" ht="22.5" customHeight="1" spans="1:16">
      <c r="A35" s="28" t="s">
        <v>81</v>
      </c>
      <c r="B35" s="29" t="s">
        <v>82</v>
      </c>
      <c r="C35" s="29" t="s">
        <v>83</v>
      </c>
      <c r="D35" s="30">
        <v>46063</v>
      </c>
      <c r="E35" s="31">
        <v>46140</v>
      </c>
      <c r="F35" s="32">
        <v>287.5</v>
      </c>
      <c r="G35" s="29">
        <v>100</v>
      </c>
      <c r="H35" s="34">
        <f t="shared" si="0"/>
        <v>28750</v>
      </c>
      <c r="I35" s="32"/>
      <c r="J35" s="32">
        <v>7277.72</v>
      </c>
      <c r="K35" s="32"/>
      <c r="L35" s="32">
        <f t="shared" si="1"/>
        <v>36027.72</v>
      </c>
      <c r="M35" s="35">
        <v>4</v>
      </c>
      <c r="N35" s="35">
        <v>6</v>
      </c>
      <c r="O35" s="35">
        <v>24.984</v>
      </c>
      <c r="P35" s="36">
        <f t="shared" si="2"/>
        <v>219.589555555556</v>
      </c>
    </row>
    <row r="36" s="1" customFormat="1" ht="22.5" customHeight="1" spans="1:16">
      <c r="A36" s="19" t="s">
        <v>84</v>
      </c>
      <c r="B36" s="20" t="s">
        <v>85</v>
      </c>
      <c r="C36" s="20" t="s">
        <v>21</v>
      </c>
      <c r="D36" s="21">
        <v>46057</v>
      </c>
      <c r="E36" s="22">
        <v>46098</v>
      </c>
      <c r="F36" s="23">
        <v>41</v>
      </c>
      <c r="G36" s="24">
        <v>86</v>
      </c>
      <c r="H36" s="25">
        <f t="shared" si="0"/>
        <v>3526</v>
      </c>
      <c r="I36" s="23">
        <v>22</v>
      </c>
      <c r="J36" s="23">
        <v>307.88</v>
      </c>
      <c r="K36" s="23"/>
      <c r="L36" s="23">
        <f t="shared" si="1"/>
        <v>3855.88</v>
      </c>
      <c r="M36" s="26">
        <v>0.3</v>
      </c>
      <c r="N36" s="26">
        <v>6</v>
      </c>
      <c r="O36" s="26">
        <v>24.984</v>
      </c>
      <c r="P36" s="27">
        <f t="shared" si="2"/>
        <v>42.2887855297158</v>
      </c>
    </row>
    <row r="37" s="1" customFormat="1" ht="22.5" customHeight="1" spans="1:16">
      <c r="A37" s="28" t="s">
        <v>86</v>
      </c>
      <c r="B37" s="29" t="s">
        <v>87</v>
      </c>
      <c r="C37" s="29" t="s">
        <v>88</v>
      </c>
      <c r="D37" s="30">
        <v>46063</v>
      </c>
      <c r="E37" s="31">
        <v>46140</v>
      </c>
      <c r="F37" s="32">
        <v>93</v>
      </c>
      <c r="G37" s="33">
        <v>120</v>
      </c>
      <c r="H37" s="34">
        <f t="shared" si="0"/>
        <v>11160</v>
      </c>
      <c r="I37" s="32"/>
      <c r="J37" s="32">
        <v>2255.11</v>
      </c>
      <c r="K37" s="32"/>
      <c r="L37" s="32">
        <f t="shared" si="1"/>
        <v>13415.11</v>
      </c>
      <c r="M37" s="35">
        <v>0.3</v>
      </c>
      <c r="N37" s="35">
        <v>6</v>
      </c>
      <c r="O37" s="35">
        <v>24.984</v>
      </c>
      <c r="P37" s="36">
        <f t="shared" si="2"/>
        <v>79.4869907407407</v>
      </c>
    </row>
    <row r="38" s="1" customFormat="1" ht="22.5" customHeight="1" spans="1:16">
      <c r="A38" s="19" t="s">
        <v>89</v>
      </c>
      <c r="B38" s="20" t="s">
        <v>87</v>
      </c>
      <c r="C38" s="20" t="s">
        <v>90</v>
      </c>
      <c r="D38" s="21">
        <v>46063</v>
      </c>
      <c r="E38" s="22">
        <v>46140</v>
      </c>
      <c r="F38" s="23">
        <v>69.3</v>
      </c>
      <c r="G38" s="24">
        <v>120</v>
      </c>
      <c r="H38" s="25">
        <f t="shared" si="0"/>
        <v>8316</v>
      </c>
      <c r="I38" s="23"/>
      <c r="J38" s="23">
        <v>1948.22</v>
      </c>
      <c r="K38" s="23"/>
      <c r="L38" s="23">
        <f t="shared" si="1"/>
        <v>10264.22</v>
      </c>
      <c r="M38" s="26">
        <v>0.3</v>
      </c>
      <c r="N38" s="26">
        <v>6</v>
      </c>
      <c r="O38" s="26">
        <v>24.984</v>
      </c>
      <c r="P38" s="27">
        <f t="shared" si="2"/>
        <v>64.899537037037</v>
      </c>
    </row>
    <row r="39" s="1" customFormat="1" ht="22.5" customHeight="1" spans="1:16">
      <c r="A39" s="28" t="s">
        <v>91</v>
      </c>
      <c r="B39" s="29" t="s">
        <v>87</v>
      </c>
      <c r="C39" s="29" t="s">
        <v>92</v>
      </c>
      <c r="D39" s="30">
        <v>46063</v>
      </c>
      <c r="E39" s="31">
        <v>46140</v>
      </c>
      <c r="F39" s="32">
        <v>46.1</v>
      </c>
      <c r="G39" s="33">
        <v>120</v>
      </c>
      <c r="H39" s="34">
        <f t="shared" si="0"/>
        <v>5532</v>
      </c>
      <c r="I39" s="32"/>
      <c r="J39" s="32">
        <v>769.76</v>
      </c>
      <c r="K39" s="32"/>
      <c r="L39" s="32">
        <f t="shared" si="1"/>
        <v>6301.76</v>
      </c>
      <c r="M39" s="35">
        <v>0.3</v>
      </c>
      <c r="N39" s="35">
        <v>6</v>
      </c>
      <c r="O39" s="35">
        <v>24.984</v>
      </c>
      <c r="P39" s="36">
        <f t="shared" si="2"/>
        <v>46.5548148148148</v>
      </c>
    </row>
    <row r="40" s="1" customFormat="1" ht="22.5" customHeight="1" spans="1:16">
      <c r="A40" s="19" t="s">
        <v>93</v>
      </c>
      <c r="B40" s="20" t="s">
        <v>94</v>
      </c>
      <c r="C40" s="20" t="s">
        <v>95</v>
      </c>
      <c r="D40" s="22">
        <v>45920</v>
      </c>
      <c r="E40" s="22">
        <v>45959</v>
      </c>
      <c r="F40" s="23">
        <f t="shared" ref="F40:F44" si="3">58*1.03</f>
        <v>59.74</v>
      </c>
      <c r="G40" s="24">
        <v>240</v>
      </c>
      <c r="H40" s="25">
        <f t="shared" si="0"/>
        <v>14337.6</v>
      </c>
      <c r="I40" s="23">
        <v>150</v>
      </c>
      <c r="J40" s="23">
        <v>2585.38</v>
      </c>
      <c r="K40" s="23"/>
      <c r="L40" s="23">
        <f t="shared" si="1"/>
        <v>17072.98</v>
      </c>
      <c r="M40" s="26">
        <v>0.3</v>
      </c>
      <c r="N40" s="26">
        <v>6</v>
      </c>
      <c r="O40" s="26">
        <v>24.984</v>
      </c>
      <c r="P40" s="27">
        <f t="shared" si="2"/>
        <v>56.900787037037</v>
      </c>
    </row>
    <row r="41" s="1" customFormat="1" ht="22.5" customHeight="1" spans="1:16">
      <c r="A41" s="28" t="s">
        <v>93</v>
      </c>
      <c r="B41" s="29" t="s">
        <v>94</v>
      </c>
      <c r="C41" s="29" t="s">
        <v>96</v>
      </c>
      <c r="D41" s="31">
        <v>45943</v>
      </c>
      <c r="E41" s="31">
        <v>45986</v>
      </c>
      <c r="F41" s="32">
        <f t="shared" si="3"/>
        <v>59.74</v>
      </c>
      <c r="G41" s="33">
        <v>156</v>
      </c>
      <c r="H41" s="34">
        <f t="shared" si="0"/>
        <v>9319.44</v>
      </c>
      <c r="I41" s="32">
        <v>138</v>
      </c>
      <c r="J41" s="32">
        <v>1868.88</v>
      </c>
      <c r="K41" s="32"/>
      <c r="L41" s="32">
        <f t="shared" si="1"/>
        <v>11326.32</v>
      </c>
      <c r="M41" s="35">
        <v>0.3</v>
      </c>
      <c r="N41" s="35">
        <v>6</v>
      </c>
      <c r="O41" s="35">
        <v>24.984</v>
      </c>
      <c r="P41" s="36">
        <f t="shared" si="2"/>
        <v>57.7158974358974</v>
      </c>
    </row>
    <row r="42" s="1" customFormat="1" ht="22.5" customHeight="1" spans="1:16">
      <c r="A42" s="19" t="s">
        <v>93</v>
      </c>
      <c r="B42" s="20" t="s">
        <v>94</v>
      </c>
      <c r="C42" s="20" t="s">
        <v>97</v>
      </c>
      <c r="D42" s="22">
        <v>46013</v>
      </c>
      <c r="E42" s="22">
        <v>46047</v>
      </c>
      <c r="F42" s="23">
        <f t="shared" si="3"/>
        <v>59.74</v>
      </c>
      <c r="G42" s="24">
        <v>240</v>
      </c>
      <c r="H42" s="25">
        <f t="shared" si="0"/>
        <v>14337.6</v>
      </c>
      <c r="I42" s="23"/>
      <c r="J42" s="23">
        <v>2219</v>
      </c>
      <c r="K42" s="23"/>
      <c r="L42" s="23">
        <f t="shared" si="1"/>
        <v>16556.6</v>
      </c>
      <c r="M42" s="26">
        <v>0.3</v>
      </c>
      <c r="N42" s="26">
        <v>6</v>
      </c>
      <c r="O42" s="26">
        <v>24.984</v>
      </c>
      <c r="P42" s="27">
        <f t="shared" si="2"/>
        <v>55.705462962963</v>
      </c>
    </row>
    <row r="43" s="1" customFormat="1" ht="22.5" customHeight="1" spans="1:16">
      <c r="A43" s="28" t="s">
        <v>93</v>
      </c>
      <c r="B43" s="29" t="s">
        <v>94</v>
      </c>
      <c r="C43" s="29" t="s">
        <v>98</v>
      </c>
      <c r="D43" s="30">
        <v>46030</v>
      </c>
      <c r="E43" s="31">
        <v>46068</v>
      </c>
      <c r="F43" s="32">
        <f t="shared" si="3"/>
        <v>59.74</v>
      </c>
      <c r="G43" s="33">
        <v>396</v>
      </c>
      <c r="H43" s="34">
        <f t="shared" si="0"/>
        <v>23657.04</v>
      </c>
      <c r="I43" s="32">
        <v>97.08</v>
      </c>
      <c r="J43" s="32">
        <v>3780.08</v>
      </c>
      <c r="K43" s="32"/>
      <c r="L43" s="32">
        <f t="shared" si="1"/>
        <v>27534.2</v>
      </c>
      <c r="M43" s="35">
        <v>0.3</v>
      </c>
      <c r="N43" s="35">
        <v>6</v>
      </c>
      <c r="O43" s="35">
        <v>24.984</v>
      </c>
      <c r="P43" s="36">
        <f t="shared" si="2"/>
        <v>56.00822671156</v>
      </c>
    </row>
    <row r="44" s="1" customFormat="1" ht="22.5" customHeight="1" spans="1:16">
      <c r="A44" s="19" t="s">
        <v>93</v>
      </c>
      <c r="B44" s="20" t="s">
        <v>94</v>
      </c>
      <c r="C44" s="20" t="s">
        <v>99</v>
      </c>
      <c r="D44" s="21">
        <v>46058</v>
      </c>
      <c r="E44" s="22">
        <v>46097</v>
      </c>
      <c r="F44" s="23">
        <f t="shared" si="3"/>
        <v>59.74</v>
      </c>
      <c r="G44" s="24">
        <v>624</v>
      </c>
      <c r="H44" s="25">
        <f t="shared" si="0"/>
        <v>37277.76</v>
      </c>
      <c r="I44" s="23">
        <v>172.56</v>
      </c>
      <c r="J44" s="23">
        <v>5854.04</v>
      </c>
      <c r="K44" s="23"/>
      <c r="L44" s="23">
        <f t="shared" si="1"/>
        <v>43304.36</v>
      </c>
      <c r="M44" s="26">
        <v>0.3</v>
      </c>
      <c r="N44" s="26">
        <v>6</v>
      </c>
      <c r="O44" s="26">
        <v>24.984</v>
      </c>
      <c r="P44" s="27">
        <f t="shared" si="2"/>
        <v>55.9344515669516</v>
      </c>
    </row>
    <row r="45" s="1" customFormat="1" ht="22.5" customHeight="1" spans="1:16">
      <c r="A45" s="28" t="s">
        <v>100</v>
      </c>
      <c r="B45" s="29" t="s">
        <v>51</v>
      </c>
      <c r="C45" s="29" t="s">
        <v>101</v>
      </c>
      <c r="D45" s="31">
        <v>45945</v>
      </c>
      <c r="E45" s="31">
        <v>45991</v>
      </c>
      <c r="F45" s="32">
        <v>65.8</v>
      </c>
      <c r="G45" s="33">
        <v>150</v>
      </c>
      <c r="H45" s="34">
        <f t="shared" si="0"/>
        <v>9870</v>
      </c>
      <c r="I45" s="32"/>
      <c r="J45" s="32">
        <v>3519.19</v>
      </c>
      <c r="K45" s="32"/>
      <c r="L45" s="32">
        <f t="shared" si="1"/>
        <v>13389.19</v>
      </c>
      <c r="M45" s="35">
        <v>0.3</v>
      </c>
      <c r="N45" s="35">
        <v>6</v>
      </c>
      <c r="O45" s="35">
        <v>24.984</v>
      </c>
      <c r="P45" s="36">
        <f t="shared" si="2"/>
        <v>66.9695925925926</v>
      </c>
    </row>
    <row r="46" s="1" customFormat="1" ht="22.5" customHeight="1" spans="1:16">
      <c r="A46" s="19" t="s">
        <v>100</v>
      </c>
      <c r="B46" s="20" t="s">
        <v>51</v>
      </c>
      <c r="C46" s="20" t="s">
        <v>102</v>
      </c>
      <c r="D46" s="21">
        <v>46033</v>
      </c>
      <c r="E46" s="22">
        <v>46075</v>
      </c>
      <c r="F46" s="23">
        <v>65.8</v>
      </c>
      <c r="G46" s="20">
        <v>300</v>
      </c>
      <c r="H46" s="25">
        <f t="shared" si="0"/>
        <v>19740</v>
      </c>
      <c r="I46" s="23">
        <v>172.56</v>
      </c>
      <c r="J46" s="23">
        <v>7009.44</v>
      </c>
      <c r="K46" s="23">
        <v>123.01</v>
      </c>
      <c r="L46" s="23">
        <f t="shared" si="1"/>
        <v>27045.01</v>
      </c>
      <c r="M46" s="26">
        <v>0.3</v>
      </c>
      <c r="N46" s="26">
        <v>6</v>
      </c>
      <c r="O46" s="26">
        <v>24.984</v>
      </c>
      <c r="P46" s="27">
        <f t="shared" si="2"/>
        <v>67.4633518518519</v>
      </c>
    </row>
    <row r="47" s="1" customFormat="1" ht="22.5" customHeight="1" spans="1:16">
      <c r="A47" s="28" t="s">
        <v>103</v>
      </c>
      <c r="B47" s="29" t="s">
        <v>87</v>
      </c>
      <c r="C47" s="29" t="s">
        <v>21</v>
      </c>
      <c r="D47" s="30">
        <v>46057</v>
      </c>
      <c r="E47" s="31">
        <v>46098</v>
      </c>
      <c r="F47" s="32">
        <v>51</v>
      </c>
      <c r="G47" s="33">
        <v>58</v>
      </c>
      <c r="H47" s="34">
        <f t="shared" si="0"/>
        <v>2958</v>
      </c>
      <c r="I47" s="32">
        <v>22</v>
      </c>
      <c r="J47" s="32">
        <v>406.93</v>
      </c>
      <c r="K47" s="32"/>
      <c r="L47" s="32">
        <f t="shared" si="1"/>
        <v>3386.93</v>
      </c>
      <c r="M47" s="35">
        <v>0.3</v>
      </c>
      <c r="N47" s="35">
        <v>6</v>
      </c>
      <c r="O47" s="35">
        <v>24.984</v>
      </c>
      <c r="P47" s="36">
        <f t="shared" si="2"/>
        <v>49.8218582375479</v>
      </c>
    </row>
    <row r="48" s="1" customFormat="1" ht="22.5" customHeight="1" spans="1:16">
      <c r="A48" s="19" t="s">
        <v>104</v>
      </c>
      <c r="B48" s="20" t="s">
        <v>26</v>
      </c>
      <c r="C48" s="20" t="s">
        <v>105</v>
      </c>
      <c r="D48" s="22">
        <v>45955</v>
      </c>
      <c r="E48" s="22">
        <v>46008</v>
      </c>
      <c r="F48" s="23">
        <v>32</v>
      </c>
      <c r="G48" s="24">
        <v>180</v>
      </c>
      <c r="H48" s="25">
        <f t="shared" si="0"/>
        <v>5760</v>
      </c>
      <c r="I48" s="23"/>
      <c r="J48" s="23">
        <v>532.74</v>
      </c>
      <c r="K48" s="23"/>
      <c r="L48" s="23">
        <f t="shared" si="1"/>
        <v>6292.74</v>
      </c>
      <c r="M48" s="26">
        <v>0.3</v>
      </c>
      <c r="N48" s="26">
        <v>6</v>
      </c>
      <c r="O48" s="26">
        <v>24.984</v>
      </c>
      <c r="P48" s="27">
        <f t="shared" si="2"/>
        <v>36.802037037037</v>
      </c>
    </row>
    <row r="49" s="1" customFormat="1" ht="22.5" customHeight="1" spans="1:16">
      <c r="A49" s="28" t="s">
        <v>106</v>
      </c>
      <c r="B49" s="29" t="s">
        <v>26</v>
      </c>
      <c r="C49" s="29" t="s">
        <v>107</v>
      </c>
      <c r="D49" s="31">
        <v>45945</v>
      </c>
      <c r="E49" s="31">
        <v>45991</v>
      </c>
      <c r="F49" s="32">
        <v>37</v>
      </c>
      <c r="G49" s="33">
        <v>180</v>
      </c>
      <c r="H49" s="34">
        <f t="shared" si="0"/>
        <v>6660</v>
      </c>
      <c r="I49" s="32"/>
      <c r="J49" s="32">
        <v>499.76</v>
      </c>
      <c r="K49" s="32"/>
      <c r="L49" s="32">
        <f t="shared" si="1"/>
        <v>7159.76</v>
      </c>
      <c r="M49" s="35">
        <v>0.3</v>
      </c>
      <c r="N49" s="35">
        <v>6</v>
      </c>
      <c r="O49" s="35">
        <v>24.984</v>
      </c>
      <c r="P49" s="36">
        <f t="shared" si="2"/>
        <v>39.478024691358</v>
      </c>
    </row>
    <row r="50" s="1" customFormat="1" ht="22.5" customHeight="1" spans="1:16">
      <c r="A50" s="19" t="s">
        <v>108</v>
      </c>
      <c r="B50" s="20" t="s">
        <v>34</v>
      </c>
      <c r="C50" s="20" t="s">
        <v>109</v>
      </c>
      <c r="D50" s="21">
        <v>46040</v>
      </c>
      <c r="E50" s="22">
        <v>46082</v>
      </c>
      <c r="F50" s="23">
        <v>55.8</v>
      </c>
      <c r="G50" s="24">
        <v>184</v>
      </c>
      <c r="H50" s="25">
        <f t="shared" si="0"/>
        <v>10267.2</v>
      </c>
      <c r="I50" s="23"/>
      <c r="J50" s="23">
        <v>2913.25</v>
      </c>
      <c r="K50" s="23"/>
      <c r="L50" s="23">
        <f t="shared" si="1"/>
        <v>13180.45</v>
      </c>
      <c r="M50" s="26">
        <v>0.3</v>
      </c>
      <c r="N50" s="26">
        <v>6</v>
      </c>
      <c r="O50" s="26">
        <v>24.984</v>
      </c>
      <c r="P50" s="27">
        <f t="shared" si="2"/>
        <v>57.1760446859903</v>
      </c>
    </row>
    <row r="51" s="1" customFormat="1" ht="22.5" customHeight="1" spans="1:16">
      <c r="A51" s="28" t="s">
        <v>108</v>
      </c>
      <c r="B51" s="29" t="s">
        <v>34</v>
      </c>
      <c r="C51" s="29" t="s">
        <v>110</v>
      </c>
      <c r="D51" s="30">
        <v>46128</v>
      </c>
      <c r="E51" s="31"/>
      <c r="F51" s="32">
        <v>55.8</v>
      </c>
      <c r="G51" s="29">
        <v>184</v>
      </c>
      <c r="H51" s="34">
        <f t="shared" si="0"/>
        <v>10267.2</v>
      </c>
      <c r="I51" s="32"/>
      <c r="J51" s="32">
        <v>3351.74</v>
      </c>
      <c r="K51" s="32"/>
      <c r="L51" s="32">
        <f t="shared" si="1"/>
        <v>13618.94</v>
      </c>
      <c r="M51" s="35">
        <v>0.3</v>
      </c>
      <c r="N51" s="35">
        <v>6</v>
      </c>
      <c r="O51" s="35">
        <v>24.984</v>
      </c>
      <c r="P51" s="36">
        <f t="shared" si="2"/>
        <v>58.4999879227053</v>
      </c>
    </row>
    <row r="52" s="1" customFormat="1" ht="22.5" customHeight="1" spans="1:16">
      <c r="A52" s="37" t="s">
        <v>111</v>
      </c>
      <c r="B52" s="42" t="s">
        <v>112</v>
      </c>
      <c r="C52" s="20" t="s">
        <v>113</v>
      </c>
      <c r="D52" s="21">
        <v>46060</v>
      </c>
      <c r="E52" s="22">
        <v>46143</v>
      </c>
      <c r="F52" s="23">
        <v>272</v>
      </c>
      <c r="G52" s="24">
        <v>40</v>
      </c>
      <c r="H52" s="25">
        <f t="shared" si="0"/>
        <v>10880</v>
      </c>
      <c r="I52" s="23">
        <v>40</v>
      </c>
      <c r="J52" s="23">
        <v>2111.13</v>
      </c>
      <c r="K52" s="23"/>
      <c r="L52" s="23">
        <f t="shared" si="1"/>
        <v>13031.13</v>
      </c>
      <c r="M52" s="26">
        <v>0.3</v>
      </c>
      <c r="N52" s="26">
        <v>6</v>
      </c>
      <c r="O52" s="26">
        <v>24.984</v>
      </c>
      <c r="P52" s="27">
        <f t="shared" si="2"/>
        <v>198.367916666667</v>
      </c>
    </row>
    <row r="53" s="1" customFormat="1" ht="22.5" customHeight="1" spans="1:16">
      <c r="A53" s="40" t="s">
        <v>114</v>
      </c>
      <c r="B53" s="39" t="s">
        <v>112</v>
      </c>
      <c r="C53" s="29" t="s">
        <v>115</v>
      </c>
      <c r="D53" s="30">
        <v>46060</v>
      </c>
      <c r="E53" s="31">
        <v>46143</v>
      </c>
      <c r="F53" s="32">
        <v>230</v>
      </c>
      <c r="G53" s="33">
        <v>40</v>
      </c>
      <c r="H53" s="34">
        <f t="shared" si="0"/>
        <v>9200</v>
      </c>
      <c r="I53" s="32">
        <v>40</v>
      </c>
      <c r="J53" s="32">
        <v>2040.3</v>
      </c>
      <c r="K53" s="32"/>
      <c r="L53" s="32">
        <f t="shared" si="1"/>
        <v>11280.3</v>
      </c>
      <c r="M53" s="35">
        <v>0.3</v>
      </c>
      <c r="N53" s="35">
        <v>6</v>
      </c>
      <c r="O53" s="35">
        <v>24.984</v>
      </c>
      <c r="P53" s="36">
        <f t="shared" si="2"/>
        <v>174.050833333333</v>
      </c>
    </row>
    <row r="54" s="1" customFormat="1" ht="22.5" customHeight="1" spans="1:16">
      <c r="A54" s="37" t="s">
        <v>116</v>
      </c>
      <c r="B54" s="42" t="s">
        <v>112</v>
      </c>
      <c r="C54" s="20" t="s">
        <v>117</v>
      </c>
      <c r="D54" s="21">
        <v>46060</v>
      </c>
      <c r="E54" s="22">
        <v>46143</v>
      </c>
      <c r="F54" s="23">
        <v>279</v>
      </c>
      <c r="G54" s="24">
        <v>40</v>
      </c>
      <c r="H54" s="25">
        <f t="shared" si="0"/>
        <v>11160</v>
      </c>
      <c r="I54" s="23">
        <v>40</v>
      </c>
      <c r="J54" s="23">
        <v>2440.89</v>
      </c>
      <c r="K54" s="23"/>
      <c r="L54" s="23">
        <f t="shared" si="1"/>
        <v>13640.89</v>
      </c>
      <c r="M54" s="26">
        <v>4</v>
      </c>
      <c r="N54" s="26">
        <v>6</v>
      </c>
      <c r="O54" s="26">
        <v>24.984</v>
      </c>
      <c r="P54" s="27">
        <f t="shared" si="2"/>
        <v>208.892361111111</v>
      </c>
    </row>
    <row r="55" s="1" customFormat="1" ht="22.5" customHeight="1" spans="1:16">
      <c r="A55" s="28" t="s">
        <v>118</v>
      </c>
      <c r="B55" s="29" t="s">
        <v>75</v>
      </c>
      <c r="C55" s="29" t="s">
        <v>119</v>
      </c>
      <c r="D55" s="31">
        <v>45945</v>
      </c>
      <c r="E55" s="31">
        <v>45992</v>
      </c>
      <c r="F55" s="32">
        <v>109.3</v>
      </c>
      <c r="G55" s="33">
        <v>160</v>
      </c>
      <c r="H55" s="34">
        <f t="shared" si="0"/>
        <v>17488</v>
      </c>
      <c r="I55" s="32"/>
      <c r="J55" s="32">
        <v>5401.72</v>
      </c>
      <c r="K55" s="32"/>
      <c r="L55" s="32">
        <f t="shared" si="1"/>
        <v>22889.72</v>
      </c>
      <c r="M55" s="35">
        <v>4</v>
      </c>
      <c r="N55" s="35">
        <v>6</v>
      </c>
      <c r="O55" s="35">
        <v>24.984</v>
      </c>
      <c r="P55" s="36">
        <f t="shared" si="2"/>
        <v>98.91375</v>
      </c>
    </row>
    <row r="56" s="1" customFormat="1" ht="22.5" customHeight="1" spans="1:16">
      <c r="A56" s="19" t="s">
        <v>118</v>
      </c>
      <c r="B56" s="20" t="s">
        <v>75</v>
      </c>
      <c r="C56" s="20" t="s">
        <v>120</v>
      </c>
      <c r="D56" s="21">
        <v>46040</v>
      </c>
      <c r="E56" s="22">
        <v>46082</v>
      </c>
      <c r="F56" s="23">
        <v>109.3</v>
      </c>
      <c r="G56" s="20">
        <v>240</v>
      </c>
      <c r="H56" s="25">
        <f t="shared" si="0"/>
        <v>26232</v>
      </c>
      <c r="I56" s="23"/>
      <c r="J56" s="23">
        <v>6524.3</v>
      </c>
      <c r="K56" s="23"/>
      <c r="L56" s="23">
        <f t="shared" si="1"/>
        <v>32756.3</v>
      </c>
      <c r="M56" s="26">
        <v>4</v>
      </c>
      <c r="N56" s="26">
        <v>6</v>
      </c>
      <c r="O56" s="26">
        <v>24.984</v>
      </c>
      <c r="P56" s="27">
        <f t="shared" si="2"/>
        <v>95.2603240740741</v>
      </c>
    </row>
    <row r="57" s="1" customFormat="1" ht="22.5" customHeight="1" spans="1:16">
      <c r="A57" s="28" t="s">
        <v>118</v>
      </c>
      <c r="B57" s="29" t="s">
        <v>75</v>
      </c>
      <c r="C57" s="29" t="s">
        <v>121</v>
      </c>
      <c r="D57" s="31">
        <v>46136</v>
      </c>
      <c r="E57" s="31"/>
      <c r="F57" s="32">
        <v>109.3</v>
      </c>
      <c r="G57" s="29">
        <v>114</v>
      </c>
      <c r="H57" s="34">
        <f t="shared" si="0"/>
        <v>12460.2</v>
      </c>
      <c r="I57" s="32">
        <v>173.28</v>
      </c>
      <c r="J57" s="32">
        <v>5936.74</v>
      </c>
      <c r="K57" s="32">
        <f>439.8+389</f>
        <v>828.8</v>
      </c>
      <c r="L57" s="32">
        <f t="shared" si="1"/>
        <v>19399.02</v>
      </c>
      <c r="M57" s="35">
        <v>4</v>
      </c>
      <c r="N57" s="35">
        <v>6</v>
      </c>
      <c r="O57" s="35">
        <v>24.984</v>
      </c>
      <c r="P57" s="36">
        <f t="shared" si="2"/>
        <v>113.97269005848</v>
      </c>
    </row>
    <row r="58" s="1" customFormat="1" ht="22.5" customHeight="1" spans="1:16">
      <c r="A58" s="37" t="s">
        <v>122</v>
      </c>
      <c r="B58" s="20" t="s">
        <v>123</v>
      </c>
      <c r="C58" s="20" t="s">
        <v>124</v>
      </c>
      <c r="D58" s="21">
        <v>46060</v>
      </c>
      <c r="E58" s="22">
        <v>46143</v>
      </c>
      <c r="F58" s="23">
        <v>191.4</v>
      </c>
      <c r="G58" s="24">
        <v>20</v>
      </c>
      <c r="H58" s="25">
        <f t="shared" si="0"/>
        <v>3828</v>
      </c>
      <c r="I58" s="23">
        <v>40</v>
      </c>
      <c r="J58" s="23">
        <v>1250.26</v>
      </c>
      <c r="K58" s="23"/>
      <c r="L58" s="23">
        <f t="shared" si="1"/>
        <v>5118.26</v>
      </c>
      <c r="M58" s="26">
        <v>4</v>
      </c>
      <c r="N58" s="26">
        <v>6</v>
      </c>
      <c r="O58" s="26">
        <v>24.984</v>
      </c>
      <c r="P58" s="27">
        <f t="shared" si="2"/>
        <v>161.609444444444</v>
      </c>
    </row>
    <row r="59" s="1" customFormat="1" ht="22.5" customHeight="1" spans="1:16">
      <c r="A59" s="28" t="s">
        <v>125</v>
      </c>
      <c r="B59" s="29" t="s">
        <v>126</v>
      </c>
      <c r="C59" s="29" t="s">
        <v>127</v>
      </c>
      <c r="D59" s="31">
        <v>45952</v>
      </c>
      <c r="E59" s="31">
        <v>45994</v>
      </c>
      <c r="F59" s="32">
        <v>35</v>
      </c>
      <c r="G59" s="33">
        <v>96</v>
      </c>
      <c r="H59" s="34">
        <f t="shared" si="0"/>
        <v>3360</v>
      </c>
      <c r="I59" s="32"/>
      <c r="J59" s="32">
        <v>1197.01</v>
      </c>
      <c r="K59" s="34"/>
      <c r="L59" s="32">
        <f t="shared" si="1"/>
        <v>4557.01</v>
      </c>
      <c r="M59" s="35">
        <v>4</v>
      </c>
      <c r="N59" s="35">
        <v>6</v>
      </c>
      <c r="O59" s="35">
        <v>24.984</v>
      </c>
      <c r="P59" s="36">
        <f t="shared" si="2"/>
        <v>45.8071412037037</v>
      </c>
    </row>
    <row r="60" s="1" customFormat="1" ht="22.5" customHeight="1" spans="1:16">
      <c r="A60" s="19" t="s">
        <v>125</v>
      </c>
      <c r="B60" s="20" t="s">
        <v>126</v>
      </c>
      <c r="C60" s="20" t="s">
        <v>128</v>
      </c>
      <c r="D60" s="21">
        <v>46128</v>
      </c>
      <c r="E60" s="22"/>
      <c r="F60" s="23">
        <v>35</v>
      </c>
      <c r="G60" s="20">
        <v>240</v>
      </c>
      <c r="H60" s="25">
        <f t="shared" si="0"/>
        <v>8400</v>
      </c>
      <c r="I60" s="23"/>
      <c r="J60" s="23">
        <v>3487.54</v>
      </c>
      <c r="K60" s="23"/>
      <c r="L60" s="23">
        <f t="shared" si="1"/>
        <v>11887.54</v>
      </c>
      <c r="M60" s="26">
        <v>4</v>
      </c>
      <c r="N60" s="26">
        <v>6</v>
      </c>
      <c r="O60" s="26">
        <v>24.984</v>
      </c>
      <c r="P60" s="27">
        <f t="shared" si="2"/>
        <v>46.9530092592593</v>
      </c>
    </row>
    <row r="61" s="1" customFormat="1" ht="22.5" customHeight="1" spans="1:16">
      <c r="A61" s="28" t="s">
        <v>129</v>
      </c>
      <c r="B61" s="29" t="s">
        <v>126</v>
      </c>
      <c r="C61" s="29" t="s">
        <v>21</v>
      </c>
      <c r="D61" s="30">
        <v>46057</v>
      </c>
      <c r="E61" s="31">
        <v>46098</v>
      </c>
      <c r="F61" s="32">
        <v>44</v>
      </c>
      <c r="G61" s="33">
        <v>36</v>
      </c>
      <c r="H61" s="34">
        <f t="shared" si="0"/>
        <v>1584</v>
      </c>
      <c r="I61" s="32"/>
      <c r="J61" s="32">
        <v>405.31</v>
      </c>
      <c r="K61" s="32"/>
      <c r="L61" s="32">
        <f t="shared" si="1"/>
        <v>1989.31</v>
      </c>
      <c r="M61" s="35">
        <v>0.3</v>
      </c>
      <c r="N61" s="35">
        <v>6</v>
      </c>
      <c r="O61" s="35">
        <v>24.984</v>
      </c>
      <c r="P61" s="36">
        <f t="shared" si="2"/>
        <v>48.0792283950617</v>
      </c>
    </row>
    <row r="62" s="1" customFormat="1" ht="22.5" customHeight="1" spans="1:16">
      <c r="A62" s="19" t="s">
        <v>130</v>
      </c>
      <c r="B62" s="20" t="s">
        <v>131</v>
      </c>
      <c r="C62" s="20" t="s">
        <v>132</v>
      </c>
      <c r="D62" s="22">
        <v>45987</v>
      </c>
      <c r="E62" s="22">
        <v>46028</v>
      </c>
      <c r="F62" s="23">
        <v>121.3</v>
      </c>
      <c r="G62" s="24">
        <v>80</v>
      </c>
      <c r="H62" s="25">
        <f t="shared" si="0"/>
        <v>9704</v>
      </c>
      <c r="I62" s="23"/>
      <c r="J62" s="23">
        <v>2784.48</v>
      </c>
      <c r="K62" s="23"/>
      <c r="L62" s="23">
        <f t="shared" si="1"/>
        <v>12488.48</v>
      </c>
      <c r="M62" s="26">
        <v>0.3</v>
      </c>
      <c r="N62" s="26">
        <v>6</v>
      </c>
      <c r="O62" s="26">
        <v>24.984</v>
      </c>
      <c r="P62" s="27">
        <f t="shared" si="2"/>
        <v>104.105555555556</v>
      </c>
    </row>
    <row r="63" s="1" customFormat="1" ht="22.5" customHeight="1" spans="1:16">
      <c r="A63" s="28" t="s">
        <v>130</v>
      </c>
      <c r="B63" s="29" t="s">
        <v>131</v>
      </c>
      <c r="C63" s="29" t="s">
        <v>133</v>
      </c>
      <c r="D63" s="30">
        <v>46040</v>
      </c>
      <c r="E63" s="31">
        <v>46082</v>
      </c>
      <c r="F63" s="32">
        <v>121.3</v>
      </c>
      <c r="G63" s="29">
        <v>120</v>
      </c>
      <c r="H63" s="34">
        <f t="shared" si="0"/>
        <v>14556</v>
      </c>
      <c r="I63" s="32"/>
      <c r="J63" s="32">
        <v>3703.02</v>
      </c>
      <c r="K63" s="32"/>
      <c r="L63" s="32">
        <f t="shared" si="1"/>
        <v>18259.02</v>
      </c>
      <c r="M63" s="35">
        <v>0.3</v>
      </c>
      <c r="N63" s="35">
        <v>6</v>
      </c>
      <c r="O63" s="35">
        <v>24.984</v>
      </c>
      <c r="P63" s="36">
        <f t="shared" si="2"/>
        <v>101.9125</v>
      </c>
    </row>
    <row r="64" s="1" customFormat="1" ht="22.5" customHeight="1" spans="1:16">
      <c r="A64" s="19" t="s">
        <v>130</v>
      </c>
      <c r="B64" s="20" t="s">
        <v>131</v>
      </c>
      <c r="C64" s="20" t="s">
        <v>134</v>
      </c>
      <c r="D64" s="21">
        <v>46140</v>
      </c>
      <c r="E64" s="22"/>
      <c r="F64" s="23">
        <v>121.3</v>
      </c>
      <c r="G64" s="20">
        <v>32</v>
      </c>
      <c r="H64" s="25">
        <f t="shared" si="0"/>
        <v>3881.6</v>
      </c>
      <c r="I64" s="23"/>
      <c r="J64" s="23"/>
      <c r="K64" s="23"/>
      <c r="L64" s="23">
        <f t="shared" si="1"/>
        <v>3881.6</v>
      </c>
      <c r="M64" s="26">
        <v>0.3</v>
      </c>
      <c r="N64" s="26">
        <v>6</v>
      </c>
      <c r="O64" s="26">
        <v>24.984</v>
      </c>
      <c r="P64" s="27">
        <f t="shared" si="2"/>
        <v>84.7688888888889</v>
      </c>
    </row>
    <row r="65" s="1" customFormat="1" ht="22.5" customHeight="1" spans="1:16">
      <c r="A65" s="28" t="s">
        <v>135</v>
      </c>
      <c r="B65" s="29" t="s">
        <v>131</v>
      </c>
      <c r="C65" s="29" t="s">
        <v>136</v>
      </c>
      <c r="D65" s="30">
        <v>46040</v>
      </c>
      <c r="E65" s="31">
        <v>46082</v>
      </c>
      <c r="F65" s="32">
        <v>263.5</v>
      </c>
      <c r="G65" s="33">
        <v>100</v>
      </c>
      <c r="H65" s="34">
        <f t="shared" si="0"/>
        <v>26350</v>
      </c>
      <c r="I65" s="32"/>
      <c r="J65" s="32">
        <v>4714.14</v>
      </c>
      <c r="K65" s="32"/>
      <c r="L65" s="32">
        <f t="shared" si="1"/>
        <v>31064.14</v>
      </c>
      <c r="M65" s="35">
        <v>4</v>
      </c>
      <c r="N65" s="35">
        <v>6</v>
      </c>
      <c r="O65" s="35">
        <v>24.984</v>
      </c>
      <c r="P65" s="36">
        <f t="shared" si="2"/>
        <v>192.014111111111</v>
      </c>
    </row>
    <row r="66" s="1" customFormat="1" ht="22.5" customHeight="1" spans="1:16">
      <c r="A66" s="19" t="s">
        <v>135</v>
      </c>
      <c r="B66" s="20" t="s">
        <v>131</v>
      </c>
      <c r="C66" s="20" t="s">
        <v>137</v>
      </c>
      <c r="D66" s="21"/>
      <c r="E66" s="22"/>
      <c r="F66" s="23">
        <v>263.5</v>
      </c>
      <c r="G66" s="24">
        <v>120</v>
      </c>
      <c r="H66" s="25">
        <f t="shared" ref="H66:H99" si="4">F66*G66</f>
        <v>31620</v>
      </c>
      <c r="I66" s="23"/>
      <c r="J66" s="23"/>
      <c r="K66" s="23"/>
      <c r="L66" s="23">
        <f t="shared" ref="L66:L99" si="5">H66+I66+J66+K66</f>
        <v>31620</v>
      </c>
      <c r="M66" s="26">
        <v>4</v>
      </c>
      <c r="N66" s="26">
        <v>6</v>
      </c>
      <c r="O66" s="26">
        <v>24.984</v>
      </c>
      <c r="P66" s="27">
        <f t="shared" ref="P66:P99" si="6">(F66+(I66+J66+K66)/G66+M66+N66+O66)/1.8</f>
        <v>165.824444444444</v>
      </c>
    </row>
    <row r="67" s="1" customFormat="1" ht="22.5" customHeight="1" spans="1:16">
      <c r="A67" s="28" t="s">
        <v>138</v>
      </c>
      <c r="B67" s="29" t="s">
        <v>63</v>
      </c>
      <c r="C67" s="29" t="s">
        <v>21</v>
      </c>
      <c r="D67" s="30">
        <v>46057</v>
      </c>
      <c r="E67" s="31">
        <v>46098</v>
      </c>
      <c r="F67" s="32">
        <v>57.8</v>
      </c>
      <c r="G67" s="33">
        <v>35</v>
      </c>
      <c r="H67" s="34">
        <f t="shared" si="4"/>
        <v>2023</v>
      </c>
      <c r="I67" s="32"/>
      <c r="J67" s="32">
        <v>889.04</v>
      </c>
      <c r="K67" s="32"/>
      <c r="L67" s="32">
        <f t="shared" si="5"/>
        <v>2912.04</v>
      </c>
      <c r="M67" s="35">
        <v>0.3</v>
      </c>
      <c r="N67" s="35">
        <v>6</v>
      </c>
      <c r="O67" s="35">
        <v>24.984</v>
      </c>
      <c r="P67" s="36">
        <f t="shared" si="6"/>
        <v>63.6028571428571</v>
      </c>
    </row>
    <row r="68" s="1" customFormat="1" ht="22.5" customHeight="1" spans="1:16">
      <c r="A68" s="19" t="s">
        <v>139</v>
      </c>
      <c r="B68" s="20" t="s">
        <v>63</v>
      </c>
      <c r="C68" s="20" t="s">
        <v>140</v>
      </c>
      <c r="D68" s="22">
        <v>45952</v>
      </c>
      <c r="E68" s="22">
        <v>45994</v>
      </c>
      <c r="F68" s="23">
        <v>50.8</v>
      </c>
      <c r="G68" s="24">
        <v>120</v>
      </c>
      <c r="H68" s="25">
        <f t="shared" si="4"/>
        <v>6096</v>
      </c>
      <c r="I68" s="23"/>
      <c r="J68" s="23">
        <v>2483.85</v>
      </c>
      <c r="K68" s="23"/>
      <c r="L68" s="23">
        <f t="shared" si="5"/>
        <v>8579.85</v>
      </c>
      <c r="M68" s="26">
        <v>0.3</v>
      </c>
      <c r="N68" s="26">
        <v>6</v>
      </c>
      <c r="O68" s="26">
        <v>24.984</v>
      </c>
      <c r="P68" s="27">
        <f t="shared" si="6"/>
        <v>57.1015277777778</v>
      </c>
    </row>
    <row r="69" s="1" customFormat="1" ht="22.5" customHeight="1" spans="1:16">
      <c r="A69" s="28" t="s">
        <v>139</v>
      </c>
      <c r="B69" s="29" t="s">
        <v>63</v>
      </c>
      <c r="C69" s="29" t="s">
        <v>141</v>
      </c>
      <c r="D69" s="30">
        <v>46040</v>
      </c>
      <c r="E69" s="31" t="s">
        <v>141</v>
      </c>
      <c r="F69" s="32">
        <v>50.8</v>
      </c>
      <c r="G69" s="29">
        <v>360</v>
      </c>
      <c r="H69" s="34">
        <f t="shared" si="4"/>
        <v>18288</v>
      </c>
      <c r="I69" s="32"/>
      <c r="J69" s="32">
        <v>6558.71</v>
      </c>
      <c r="K69" s="32"/>
      <c r="L69" s="32">
        <f t="shared" si="5"/>
        <v>24846.71</v>
      </c>
      <c r="M69" s="35">
        <v>0.3</v>
      </c>
      <c r="N69" s="35">
        <v>6</v>
      </c>
      <c r="O69" s="35">
        <v>24.984</v>
      </c>
      <c r="P69" s="36">
        <f t="shared" si="6"/>
        <v>55.7236882716049</v>
      </c>
    </row>
    <row r="70" s="1" customFormat="1" ht="22.5" customHeight="1" spans="1:16">
      <c r="A70" s="19" t="s">
        <v>142</v>
      </c>
      <c r="B70" s="20" t="s">
        <v>63</v>
      </c>
      <c r="C70" s="20" t="s">
        <v>143</v>
      </c>
      <c r="D70" s="22">
        <v>45952</v>
      </c>
      <c r="E70" s="22">
        <v>45994</v>
      </c>
      <c r="F70" s="23">
        <v>56</v>
      </c>
      <c r="G70" s="24">
        <v>128</v>
      </c>
      <c r="H70" s="25">
        <f t="shared" si="4"/>
        <v>7168</v>
      </c>
      <c r="I70" s="23"/>
      <c r="J70" s="23">
        <v>2790.72</v>
      </c>
      <c r="K70" s="23"/>
      <c r="L70" s="23">
        <f t="shared" si="5"/>
        <v>9958.72</v>
      </c>
      <c r="M70" s="26">
        <v>0.3</v>
      </c>
      <c r="N70" s="26">
        <v>6</v>
      </c>
      <c r="O70" s="26">
        <v>24.984</v>
      </c>
      <c r="P70" s="27">
        <f t="shared" si="6"/>
        <v>60.6036111111111</v>
      </c>
    </row>
    <row r="71" s="1" customFormat="1" ht="22.5" customHeight="1" spans="1:16">
      <c r="A71" s="28" t="s">
        <v>142</v>
      </c>
      <c r="B71" s="29" t="s">
        <v>63</v>
      </c>
      <c r="C71" s="29" t="s">
        <v>144</v>
      </c>
      <c r="D71" s="30">
        <v>46040</v>
      </c>
      <c r="E71" s="31">
        <v>46082</v>
      </c>
      <c r="F71" s="32">
        <v>56</v>
      </c>
      <c r="G71" s="29">
        <v>128</v>
      </c>
      <c r="H71" s="34">
        <f t="shared" si="4"/>
        <v>7168</v>
      </c>
      <c r="I71" s="32"/>
      <c r="J71" s="32">
        <v>2562.79</v>
      </c>
      <c r="K71" s="32"/>
      <c r="L71" s="32">
        <f t="shared" si="5"/>
        <v>9730.79</v>
      </c>
      <c r="M71" s="35">
        <v>0.3</v>
      </c>
      <c r="N71" s="35">
        <v>6</v>
      </c>
      <c r="O71" s="35">
        <v>24.984</v>
      </c>
      <c r="P71" s="36">
        <f t="shared" si="6"/>
        <v>59.6143315972222</v>
      </c>
    </row>
    <row r="72" s="1" customFormat="1" ht="22.5" customHeight="1" spans="1:16">
      <c r="A72" s="19" t="s">
        <v>142</v>
      </c>
      <c r="B72" s="20" t="s">
        <v>63</v>
      </c>
      <c r="C72" s="20" t="s">
        <v>145</v>
      </c>
      <c r="D72" s="21">
        <v>46140</v>
      </c>
      <c r="E72" s="22"/>
      <c r="F72" s="23">
        <v>56</v>
      </c>
      <c r="G72" s="20">
        <v>112</v>
      </c>
      <c r="H72" s="25">
        <f t="shared" si="4"/>
        <v>6272</v>
      </c>
      <c r="I72" s="23"/>
      <c r="J72" s="23"/>
      <c r="K72" s="23"/>
      <c r="L72" s="23">
        <f t="shared" si="5"/>
        <v>6272</v>
      </c>
      <c r="M72" s="26">
        <v>0.3</v>
      </c>
      <c r="N72" s="26">
        <v>6</v>
      </c>
      <c r="O72" s="26">
        <v>24.984</v>
      </c>
      <c r="P72" s="27">
        <f t="shared" si="6"/>
        <v>48.4911111111111</v>
      </c>
    </row>
    <row r="73" s="1" customFormat="1" ht="22.5" customHeight="1" spans="1:16">
      <c r="A73" s="28" t="s">
        <v>146</v>
      </c>
      <c r="B73" s="29" t="s">
        <v>63</v>
      </c>
      <c r="C73" s="29" t="s">
        <v>147</v>
      </c>
      <c r="D73" s="31">
        <v>45952</v>
      </c>
      <c r="E73" s="31">
        <v>45994</v>
      </c>
      <c r="F73" s="32">
        <v>59.5</v>
      </c>
      <c r="G73" s="33">
        <v>120</v>
      </c>
      <c r="H73" s="34">
        <f t="shared" si="4"/>
        <v>7140</v>
      </c>
      <c r="I73" s="32"/>
      <c r="J73" s="32">
        <v>3134.49</v>
      </c>
      <c r="K73" s="32"/>
      <c r="L73" s="32">
        <f t="shared" si="5"/>
        <v>10274.49</v>
      </c>
      <c r="M73" s="35">
        <v>0.3</v>
      </c>
      <c r="N73" s="35">
        <v>6</v>
      </c>
      <c r="O73" s="35">
        <v>24.984</v>
      </c>
      <c r="P73" s="36">
        <f t="shared" si="6"/>
        <v>64.9470833333333</v>
      </c>
    </row>
    <row r="74" s="1" customFormat="1" ht="22.5" customHeight="1" spans="1:16">
      <c r="A74" s="19" t="s">
        <v>146</v>
      </c>
      <c r="B74" s="20" t="s">
        <v>63</v>
      </c>
      <c r="C74" s="20" t="s">
        <v>148</v>
      </c>
      <c r="D74" s="21">
        <v>46040</v>
      </c>
      <c r="E74" s="22">
        <v>46082</v>
      </c>
      <c r="F74" s="23">
        <v>59.5</v>
      </c>
      <c r="G74" s="20">
        <v>180</v>
      </c>
      <c r="H74" s="25">
        <f t="shared" si="4"/>
        <v>10710</v>
      </c>
      <c r="I74" s="23"/>
      <c r="J74" s="23">
        <v>4191.1</v>
      </c>
      <c r="K74" s="23"/>
      <c r="L74" s="23">
        <f t="shared" si="5"/>
        <v>14901.1</v>
      </c>
      <c r="M74" s="26">
        <v>0.3</v>
      </c>
      <c r="N74" s="26">
        <v>6</v>
      </c>
      <c r="O74" s="26">
        <v>24.984</v>
      </c>
      <c r="P74" s="27">
        <f t="shared" si="6"/>
        <v>63.371049382716</v>
      </c>
    </row>
    <row r="75" s="1" customFormat="1" ht="22.5" customHeight="1" spans="1:16">
      <c r="A75" s="40" t="s">
        <v>149</v>
      </c>
      <c r="B75" s="39" t="s">
        <v>150</v>
      </c>
      <c r="C75" s="29" t="s">
        <v>151</v>
      </c>
      <c r="D75" s="30">
        <v>46060</v>
      </c>
      <c r="E75" s="31">
        <v>46143</v>
      </c>
      <c r="F75" s="32">
        <v>112.4</v>
      </c>
      <c r="G75" s="33">
        <v>40</v>
      </c>
      <c r="H75" s="34">
        <f t="shared" si="4"/>
        <v>4496</v>
      </c>
      <c r="I75" s="32">
        <v>40</v>
      </c>
      <c r="J75" s="32">
        <v>1544.72</v>
      </c>
      <c r="K75" s="32"/>
      <c r="L75" s="32">
        <f t="shared" si="5"/>
        <v>6080.72</v>
      </c>
      <c r="M75" s="35">
        <v>0.3</v>
      </c>
      <c r="N75" s="35">
        <v>6</v>
      </c>
      <c r="O75" s="35">
        <v>24.984</v>
      </c>
      <c r="P75" s="36">
        <f t="shared" si="6"/>
        <v>101.834444444444</v>
      </c>
    </row>
    <row r="76" s="1" customFormat="1" ht="22.5" customHeight="1" spans="1:16">
      <c r="A76" s="19" t="s">
        <v>152</v>
      </c>
      <c r="B76" s="20" t="s">
        <v>153</v>
      </c>
      <c r="C76" s="20" t="s">
        <v>154</v>
      </c>
      <c r="D76" s="22">
        <v>46011</v>
      </c>
      <c r="E76" s="22">
        <v>46056</v>
      </c>
      <c r="F76" s="23">
        <v>104</v>
      </c>
      <c r="G76" s="24">
        <v>120</v>
      </c>
      <c r="H76" s="25">
        <f t="shared" si="4"/>
        <v>12480</v>
      </c>
      <c r="I76" s="23"/>
      <c r="J76" s="23">
        <v>3721.71</v>
      </c>
      <c r="K76" s="23"/>
      <c r="L76" s="23">
        <f t="shared" si="5"/>
        <v>16201.71</v>
      </c>
      <c r="M76" s="26">
        <v>0.3</v>
      </c>
      <c r="N76" s="26">
        <v>6</v>
      </c>
      <c r="O76" s="26">
        <v>24.984</v>
      </c>
      <c r="P76" s="27">
        <f t="shared" si="6"/>
        <v>92.3879166666667</v>
      </c>
    </row>
    <row r="77" s="1" customFormat="1" ht="22.5" customHeight="1" spans="1:16">
      <c r="A77" s="28" t="s">
        <v>152</v>
      </c>
      <c r="B77" s="29" t="s">
        <v>153</v>
      </c>
      <c r="C77" s="29" t="s">
        <v>155</v>
      </c>
      <c r="D77" s="30">
        <v>46040</v>
      </c>
      <c r="E77" s="31">
        <v>46082</v>
      </c>
      <c r="F77" s="32">
        <v>104</v>
      </c>
      <c r="G77" s="29">
        <v>240</v>
      </c>
      <c r="H77" s="34">
        <f t="shared" si="4"/>
        <v>24960</v>
      </c>
      <c r="I77" s="32"/>
      <c r="J77" s="32">
        <v>7576.84</v>
      </c>
      <c r="K77" s="32"/>
      <c r="L77" s="32">
        <f t="shared" si="5"/>
        <v>32536.84</v>
      </c>
      <c r="M77" s="35">
        <v>0.3</v>
      </c>
      <c r="N77" s="35">
        <v>6</v>
      </c>
      <c r="O77" s="35">
        <v>24.984</v>
      </c>
      <c r="P77" s="36">
        <f t="shared" si="6"/>
        <v>92.6967592592593</v>
      </c>
    </row>
    <row r="78" s="1" customFormat="1" ht="22.5" customHeight="1" spans="1:16">
      <c r="A78" s="19" t="s">
        <v>156</v>
      </c>
      <c r="B78" s="20" t="s">
        <v>68</v>
      </c>
      <c r="C78" s="20" t="s">
        <v>157</v>
      </c>
      <c r="D78" s="22">
        <v>45952</v>
      </c>
      <c r="E78" s="22">
        <v>45994</v>
      </c>
      <c r="F78" s="23">
        <v>59.3</v>
      </c>
      <c r="G78" s="24">
        <v>300</v>
      </c>
      <c r="H78" s="25">
        <f t="shared" si="4"/>
        <v>17790</v>
      </c>
      <c r="I78" s="23"/>
      <c r="J78" s="23">
        <v>2334.9</v>
      </c>
      <c r="K78" s="23"/>
      <c r="L78" s="23">
        <f t="shared" si="5"/>
        <v>20124.9</v>
      </c>
      <c r="M78" s="26">
        <v>0.3</v>
      </c>
      <c r="N78" s="26">
        <v>6</v>
      </c>
      <c r="O78" s="26">
        <v>24.984</v>
      </c>
      <c r="P78" s="27">
        <f t="shared" si="6"/>
        <v>54.6483333333333</v>
      </c>
    </row>
    <row r="79" s="1" customFormat="1" ht="22.5" customHeight="1" spans="1:16">
      <c r="A79" s="28" t="s">
        <v>156</v>
      </c>
      <c r="B79" s="29" t="s">
        <v>68</v>
      </c>
      <c r="C79" s="29" t="s">
        <v>158</v>
      </c>
      <c r="D79" s="30">
        <v>46040</v>
      </c>
      <c r="E79" s="31">
        <v>46082</v>
      </c>
      <c r="F79" s="32">
        <v>59.3</v>
      </c>
      <c r="G79" s="29">
        <v>240</v>
      </c>
      <c r="H79" s="34">
        <f t="shared" si="4"/>
        <v>14232</v>
      </c>
      <c r="I79" s="32"/>
      <c r="J79" s="32">
        <v>1430.36</v>
      </c>
      <c r="K79" s="32"/>
      <c r="L79" s="32">
        <f t="shared" si="5"/>
        <v>15662.36</v>
      </c>
      <c r="M79" s="35">
        <v>0.3</v>
      </c>
      <c r="N79" s="35">
        <v>6</v>
      </c>
      <c r="O79" s="35">
        <v>24.984</v>
      </c>
      <c r="P79" s="36">
        <f t="shared" si="6"/>
        <v>53.635462962963</v>
      </c>
    </row>
    <row r="80" s="1" customFormat="1" ht="22.5" customHeight="1" spans="1:16">
      <c r="A80" s="19" t="s">
        <v>156</v>
      </c>
      <c r="B80" s="20" t="s">
        <v>68</v>
      </c>
      <c r="C80" s="20" t="s">
        <v>159</v>
      </c>
      <c r="D80" s="21">
        <v>46131</v>
      </c>
      <c r="E80" s="22"/>
      <c r="F80" s="23">
        <v>59.3</v>
      </c>
      <c r="G80" s="20">
        <v>360</v>
      </c>
      <c r="H80" s="25">
        <f t="shared" si="4"/>
        <v>21348</v>
      </c>
      <c r="I80" s="23"/>
      <c r="J80" s="23">
        <v>2856.45</v>
      </c>
      <c r="K80" s="23"/>
      <c r="L80" s="23">
        <f t="shared" si="5"/>
        <v>24204.45</v>
      </c>
      <c r="M80" s="26">
        <v>0.3</v>
      </c>
      <c r="N80" s="26">
        <v>6</v>
      </c>
      <c r="O80" s="26">
        <v>24.984</v>
      </c>
      <c r="P80" s="27">
        <f t="shared" si="6"/>
        <v>54.7325462962963</v>
      </c>
    </row>
    <row r="81" s="1" customFormat="1" ht="22.5" customHeight="1" spans="1:16">
      <c r="A81" s="28" t="s">
        <v>160</v>
      </c>
      <c r="B81" s="29" t="s">
        <v>161</v>
      </c>
      <c r="C81" s="29" t="s">
        <v>162</v>
      </c>
      <c r="D81" s="31">
        <v>45952</v>
      </c>
      <c r="E81" s="31">
        <v>45994</v>
      </c>
      <c r="F81" s="32">
        <v>88</v>
      </c>
      <c r="G81" s="33">
        <v>120</v>
      </c>
      <c r="H81" s="34">
        <f t="shared" si="4"/>
        <v>10560</v>
      </c>
      <c r="I81" s="32"/>
      <c r="J81" s="32">
        <v>4412.85</v>
      </c>
      <c r="K81" s="32"/>
      <c r="L81" s="32">
        <f t="shared" si="5"/>
        <v>14972.85</v>
      </c>
      <c r="M81" s="35">
        <v>0.3</v>
      </c>
      <c r="N81" s="35">
        <v>6</v>
      </c>
      <c r="O81" s="35">
        <v>24.984</v>
      </c>
      <c r="P81" s="36">
        <f t="shared" si="6"/>
        <v>86.69875</v>
      </c>
    </row>
    <row r="82" s="1" customFormat="1" ht="22.5" customHeight="1" spans="1:16">
      <c r="A82" s="19" t="s">
        <v>160</v>
      </c>
      <c r="B82" s="20" t="s">
        <v>161</v>
      </c>
      <c r="C82" s="20" t="s">
        <v>163</v>
      </c>
      <c r="D82" s="21">
        <v>46040</v>
      </c>
      <c r="E82" s="22">
        <v>46082</v>
      </c>
      <c r="F82" s="23">
        <v>88</v>
      </c>
      <c r="G82" s="20">
        <v>240</v>
      </c>
      <c r="H82" s="25">
        <f t="shared" si="4"/>
        <v>21120</v>
      </c>
      <c r="I82" s="23"/>
      <c r="J82" s="23">
        <v>7719.61</v>
      </c>
      <c r="K82" s="23"/>
      <c r="L82" s="23">
        <f t="shared" si="5"/>
        <v>28839.61</v>
      </c>
      <c r="M82" s="26">
        <v>0.3</v>
      </c>
      <c r="N82" s="26">
        <v>6</v>
      </c>
      <c r="O82" s="26">
        <v>24.984</v>
      </c>
      <c r="P82" s="27">
        <f t="shared" si="6"/>
        <v>84.1383564814815</v>
      </c>
    </row>
    <row r="83" s="1" customFormat="1" ht="22.5" customHeight="1" spans="1:16">
      <c r="A83" s="28" t="s">
        <v>164</v>
      </c>
      <c r="B83" s="29" t="s">
        <v>85</v>
      </c>
      <c r="C83" s="29" t="s">
        <v>21</v>
      </c>
      <c r="D83" s="30">
        <v>46057</v>
      </c>
      <c r="E83" s="31">
        <v>46098</v>
      </c>
      <c r="F83" s="32">
        <v>25.5</v>
      </c>
      <c r="G83" s="33">
        <v>80</v>
      </c>
      <c r="H83" s="34">
        <f t="shared" si="4"/>
        <v>2040</v>
      </c>
      <c r="I83" s="32"/>
      <c r="J83" s="32">
        <v>293.01</v>
      </c>
      <c r="K83" s="32"/>
      <c r="L83" s="32">
        <f t="shared" si="5"/>
        <v>2333.01</v>
      </c>
      <c r="M83" s="35">
        <v>0.3</v>
      </c>
      <c r="N83" s="35">
        <v>6</v>
      </c>
      <c r="O83" s="35">
        <v>24.984</v>
      </c>
      <c r="P83" s="36">
        <f t="shared" si="6"/>
        <v>33.5814583333333</v>
      </c>
    </row>
    <row r="84" s="1" customFormat="1" ht="22.5" customHeight="1" spans="1:16">
      <c r="A84" s="19" t="s">
        <v>165</v>
      </c>
      <c r="B84" s="20" t="s">
        <v>85</v>
      </c>
      <c r="C84" s="20" t="s">
        <v>21</v>
      </c>
      <c r="D84" s="21">
        <v>46057</v>
      </c>
      <c r="E84" s="22">
        <v>46098</v>
      </c>
      <c r="F84" s="23">
        <v>35.8</v>
      </c>
      <c r="G84" s="24">
        <v>240</v>
      </c>
      <c r="H84" s="25">
        <f t="shared" si="4"/>
        <v>8592</v>
      </c>
      <c r="I84" s="23"/>
      <c r="J84" s="23">
        <v>883.72</v>
      </c>
      <c r="K84" s="23"/>
      <c r="L84" s="23">
        <f t="shared" si="5"/>
        <v>9475.72</v>
      </c>
      <c r="M84" s="26">
        <v>0.3</v>
      </c>
      <c r="N84" s="26">
        <v>6</v>
      </c>
      <c r="O84" s="26">
        <v>24.984</v>
      </c>
      <c r="P84" s="27">
        <f t="shared" si="6"/>
        <v>39.314537037037</v>
      </c>
    </row>
    <row r="85" s="1" customFormat="1" ht="22.5" customHeight="1" spans="1:16">
      <c r="A85" s="28" t="s">
        <v>166</v>
      </c>
      <c r="B85" s="29" t="s">
        <v>63</v>
      </c>
      <c r="C85" s="29" t="s">
        <v>21</v>
      </c>
      <c r="D85" s="30">
        <v>46057</v>
      </c>
      <c r="E85" s="31">
        <v>46098</v>
      </c>
      <c r="F85" s="32">
        <v>66</v>
      </c>
      <c r="G85" s="33">
        <v>23</v>
      </c>
      <c r="H85" s="34">
        <f t="shared" si="4"/>
        <v>1518</v>
      </c>
      <c r="I85" s="32"/>
      <c r="J85" s="32">
        <v>691.41</v>
      </c>
      <c r="K85" s="32"/>
      <c r="L85" s="32">
        <f t="shared" si="5"/>
        <v>2209.41</v>
      </c>
      <c r="M85" s="35">
        <v>0.3</v>
      </c>
      <c r="N85" s="35">
        <v>6</v>
      </c>
      <c r="O85" s="35">
        <v>24.984</v>
      </c>
      <c r="P85" s="36">
        <f t="shared" si="6"/>
        <v>70.7473913043478</v>
      </c>
    </row>
    <row r="86" s="1" customFormat="1" ht="22.5" customHeight="1" spans="1:16">
      <c r="A86" s="19" t="s">
        <v>167</v>
      </c>
      <c r="B86" s="20" t="s">
        <v>68</v>
      </c>
      <c r="C86" s="20" t="s">
        <v>168</v>
      </c>
      <c r="D86" s="22">
        <v>45952</v>
      </c>
      <c r="E86" s="22">
        <v>45994</v>
      </c>
      <c r="F86" s="23">
        <v>55</v>
      </c>
      <c r="G86" s="24">
        <v>100</v>
      </c>
      <c r="H86" s="25">
        <f t="shared" si="4"/>
        <v>5500</v>
      </c>
      <c r="I86" s="23"/>
      <c r="J86" s="23">
        <v>1084.47</v>
      </c>
      <c r="K86" s="23"/>
      <c r="L86" s="23">
        <f t="shared" si="5"/>
        <v>6584.47</v>
      </c>
      <c r="M86" s="26">
        <v>0.3</v>
      </c>
      <c r="N86" s="26">
        <v>6</v>
      </c>
      <c r="O86" s="26">
        <v>24.984</v>
      </c>
      <c r="P86" s="27">
        <f t="shared" si="6"/>
        <v>53.9603888888889</v>
      </c>
    </row>
    <row r="87" s="1" customFormat="1" ht="22.5" customHeight="1" spans="1:16">
      <c r="A87" s="28" t="s">
        <v>169</v>
      </c>
      <c r="B87" s="29" t="s">
        <v>170</v>
      </c>
      <c r="C87" s="29" t="s">
        <v>171</v>
      </c>
      <c r="D87" s="31">
        <v>45944</v>
      </c>
      <c r="E87" s="31">
        <v>45994</v>
      </c>
      <c r="F87" s="32">
        <v>56</v>
      </c>
      <c r="G87" s="33">
        <v>180</v>
      </c>
      <c r="H87" s="34">
        <f t="shared" si="4"/>
        <v>10080</v>
      </c>
      <c r="I87" s="32">
        <v>142</v>
      </c>
      <c r="J87" s="32">
        <v>4775.44</v>
      </c>
      <c r="K87" s="32"/>
      <c r="L87" s="32">
        <f t="shared" si="5"/>
        <v>14997.44</v>
      </c>
      <c r="M87" s="35">
        <v>0.3</v>
      </c>
      <c r="N87" s="35">
        <v>6</v>
      </c>
      <c r="O87" s="35">
        <v>24.984</v>
      </c>
      <c r="P87" s="36">
        <f t="shared" si="6"/>
        <v>63.6683950617284</v>
      </c>
    </row>
    <row r="88" s="4" customFormat="1" ht="22.5" customHeight="1" spans="1:16">
      <c r="A88" s="19" t="s">
        <v>169</v>
      </c>
      <c r="B88" s="20" t="s">
        <v>170</v>
      </c>
      <c r="C88" s="20" t="s">
        <v>172</v>
      </c>
      <c r="D88" s="22">
        <v>46025</v>
      </c>
      <c r="E88" s="22">
        <v>46064</v>
      </c>
      <c r="F88" s="23">
        <v>56</v>
      </c>
      <c r="G88" s="24">
        <v>360</v>
      </c>
      <c r="H88" s="25">
        <f t="shared" si="4"/>
        <v>20160</v>
      </c>
      <c r="I88" s="23">
        <f>191.1+17</f>
        <v>208.1</v>
      </c>
      <c r="J88" s="23">
        <v>7760.18</v>
      </c>
      <c r="K88" s="23"/>
      <c r="L88" s="23">
        <f t="shared" si="5"/>
        <v>28128.28</v>
      </c>
      <c r="M88" s="26">
        <v>0.3</v>
      </c>
      <c r="N88" s="26">
        <v>6</v>
      </c>
      <c r="O88" s="26">
        <v>24.984</v>
      </c>
      <c r="P88" s="27">
        <f t="shared" si="6"/>
        <v>60.7878395061728</v>
      </c>
    </row>
    <row r="89" s="4" customFormat="1" ht="22.5" customHeight="1" spans="1:16">
      <c r="A89" s="28" t="s">
        <v>169</v>
      </c>
      <c r="B89" s="29" t="s">
        <v>170</v>
      </c>
      <c r="C89" s="29" t="s">
        <v>173</v>
      </c>
      <c r="D89" s="30">
        <v>46055</v>
      </c>
      <c r="E89" s="31">
        <v>46121</v>
      </c>
      <c r="F89" s="32">
        <v>56</v>
      </c>
      <c r="G89" s="33">
        <v>360</v>
      </c>
      <c r="H89" s="34">
        <f t="shared" si="4"/>
        <v>20160</v>
      </c>
      <c r="I89" s="32">
        <v>211.1</v>
      </c>
      <c r="J89" s="32">
        <v>7705.29</v>
      </c>
      <c r="K89" s="32"/>
      <c r="L89" s="32">
        <f t="shared" si="5"/>
        <v>28076.39</v>
      </c>
      <c r="M89" s="35">
        <v>0.3</v>
      </c>
      <c r="N89" s="35">
        <v>6</v>
      </c>
      <c r="O89" s="35">
        <v>24.984</v>
      </c>
      <c r="P89" s="36">
        <f t="shared" si="6"/>
        <v>60.707762345679</v>
      </c>
    </row>
    <row r="90" s="4" customFormat="1" ht="22.5" customHeight="1" spans="1:16">
      <c r="A90" s="19" t="s">
        <v>169</v>
      </c>
      <c r="B90" s="20" t="s">
        <v>170</v>
      </c>
      <c r="C90" s="20" t="s">
        <v>174</v>
      </c>
      <c r="D90" s="21">
        <v>46128</v>
      </c>
      <c r="E90" s="22"/>
      <c r="F90" s="23">
        <v>56</v>
      </c>
      <c r="G90" s="20">
        <v>360</v>
      </c>
      <c r="H90" s="25">
        <f t="shared" si="4"/>
        <v>20160</v>
      </c>
      <c r="I90" s="23">
        <v>211.1</v>
      </c>
      <c r="J90" s="23">
        <v>13148.29</v>
      </c>
      <c r="K90" s="23"/>
      <c r="L90" s="23">
        <f t="shared" si="5"/>
        <v>33519.39</v>
      </c>
      <c r="M90" s="26">
        <v>0.3</v>
      </c>
      <c r="N90" s="26">
        <v>6</v>
      </c>
      <c r="O90" s="26">
        <v>24.984</v>
      </c>
      <c r="P90" s="27">
        <f t="shared" si="6"/>
        <v>69.1074537037037</v>
      </c>
    </row>
    <row r="91" s="4" customFormat="1" ht="22.5" customHeight="1" spans="1:16">
      <c r="A91" s="28" t="s">
        <v>175</v>
      </c>
      <c r="B91" s="29" t="s">
        <v>170</v>
      </c>
      <c r="C91" s="29" t="s">
        <v>176</v>
      </c>
      <c r="D91" s="30"/>
      <c r="E91" s="31"/>
      <c r="F91" s="32">
        <v>88</v>
      </c>
      <c r="G91" s="29">
        <v>240</v>
      </c>
      <c r="H91" s="34">
        <f t="shared" si="4"/>
        <v>21120</v>
      </c>
      <c r="I91" s="32"/>
      <c r="J91" s="32"/>
      <c r="K91" s="32"/>
      <c r="L91" s="32">
        <f t="shared" si="5"/>
        <v>21120</v>
      </c>
      <c r="M91" s="35">
        <v>0.3</v>
      </c>
      <c r="N91" s="35">
        <v>6</v>
      </c>
      <c r="O91" s="35">
        <v>24.984</v>
      </c>
      <c r="P91" s="36">
        <f t="shared" si="6"/>
        <v>66.2688888888889</v>
      </c>
    </row>
    <row r="92" s="4" customFormat="1" ht="22.5" customHeight="1" spans="1:16">
      <c r="A92" s="19" t="s">
        <v>177</v>
      </c>
      <c r="B92" s="20" t="s">
        <v>170</v>
      </c>
      <c r="C92" s="20" t="s">
        <v>178</v>
      </c>
      <c r="D92" s="21"/>
      <c r="E92" s="22"/>
      <c r="F92" s="23">
        <v>88</v>
      </c>
      <c r="G92" s="20">
        <v>240</v>
      </c>
      <c r="H92" s="25">
        <f t="shared" si="4"/>
        <v>21120</v>
      </c>
      <c r="I92" s="23"/>
      <c r="J92" s="23"/>
      <c r="K92" s="23"/>
      <c r="L92" s="23">
        <f t="shared" si="5"/>
        <v>21120</v>
      </c>
      <c r="M92" s="26">
        <v>0.3</v>
      </c>
      <c r="N92" s="26">
        <v>6</v>
      </c>
      <c r="O92" s="26">
        <v>24.984</v>
      </c>
      <c r="P92" s="27">
        <f t="shared" si="6"/>
        <v>66.2688888888889</v>
      </c>
    </row>
    <row r="93" s="4" customFormat="1" ht="22.5" customHeight="1" spans="1:16">
      <c r="A93" s="28" t="s">
        <v>179</v>
      </c>
      <c r="B93" s="29" t="s">
        <v>112</v>
      </c>
      <c r="C93" s="29" t="s">
        <v>180</v>
      </c>
      <c r="D93" s="31">
        <v>45942</v>
      </c>
      <c r="E93" s="31">
        <v>45980</v>
      </c>
      <c r="F93" s="32">
        <v>216</v>
      </c>
      <c r="G93" s="33">
        <v>60</v>
      </c>
      <c r="H93" s="34">
        <f t="shared" si="4"/>
        <v>12960</v>
      </c>
      <c r="I93" s="32">
        <v>368</v>
      </c>
      <c r="J93" s="32">
        <v>4833.26</v>
      </c>
      <c r="K93" s="32"/>
      <c r="L93" s="32">
        <f t="shared" si="5"/>
        <v>18161.26</v>
      </c>
      <c r="M93" s="35">
        <v>4</v>
      </c>
      <c r="N93" s="35">
        <v>6</v>
      </c>
      <c r="O93" s="35">
        <v>24.984</v>
      </c>
      <c r="P93" s="36">
        <f t="shared" si="6"/>
        <v>187.59537037037</v>
      </c>
    </row>
    <row r="94" s="4" customFormat="1" ht="22.5" customHeight="1" spans="1:16">
      <c r="A94" s="19" t="s">
        <v>179</v>
      </c>
      <c r="B94" s="20" t="s">
        <v>112</v>
      </c>
      <c r="C94" s="20" t="s">
        <v>181</v>
      </c>
      <c r="D94" s="21">
        <v>46040</v>
      </c>
      <c r="E94" s="22">
        <v>46077</v>
      </c>
      <c r="F94" s="23">
        <v>216</v>
      </c>
      <c r="G94" s="24">
        <v>80</v>
      </c>
      <c r="H94" s="25">
        <f t="shared" si="4"/>
        <v>17280</v>
      </c>
      <c r="I94" s="23">
        <v>306.34</v>
      </c>
      <c r="J94" s="23">
        <v>5564.05</v>
      </c>
      <c r="K94" s="23"/>
      <c r="L94" s="23">
        <f t="shared" si="5"/>
        <v>23150.39</v>
      </c>
      <c r="M94" s="26">
        <v>4</v>
      </c>
      <c r="N94" s="26">
        <v>6</v>
      </c>
      <c r="O94" s="26">
        <v>24.984</v>
      </c>
      <c r="P94" s="27">
        <f t="shared" si="6"/>
        <v>180.202152777778</v>
      </c>
    </row>
    <row r="95" s="4" customFormat="1" ht="22.5" customHeight="1" spans="1:16">
      <c r="A95" s="28" t="s">
        <v>179</v>
      </c>
      <c r="B95" s="29" t="s">
        <v>112</v>
      </c>
      <c r="C95" s="29" t="s">
        <v>182</v>
      </c>
      <c r="D95" s="30">
        <v>46053</v>
      </c>
      <c r="E95" s="31">
        <v>46091</v>
      </c>
      <c r="F95" s="32">
        <v>216</v>
      </c>
      <c r="G95" s="33">
        <v>120</v>
      </c>
      <c r="H95" s="34">
        <f t="shared" si="4"/>
        <v>25920</v>
      </c>
      <c r="I95" s="32">
        <v>350.03</v>
      </c>
      <c r="J95" s="32">
        <v>8557.06</v>
      </c>
      <c r="K95" s="32"/>
      <c r="L95" s="32">
        <f t="shared" si="5"/>
        <v>34827.09</v>
      </c>
      <c r="M95" s="35">
        <v>4</v>
      </c>
      <c r="N95" s="35">
        <v>6</v>
      </c>
      <c r="O95" s="35">
        <v>24.984</v>
      </c>
      <c r="P95" s="36">
        <f t="shared" si="6"/>
        <v>180.672083333333</v>
      </c>
    </row>
    <row r="96" s="4" customFormat="1" ht="22.5" customHeight="1" spans="1:16">
      <c r="A96" s="19" t="s">
        <v>183</v>
      </c>
      <c r="B96" s="20" t="s">
        <v>184</v>
      </c>
      <c r="C96" s="20" t="s">
        <v>185</v>
      </c>
      <c r="D96" s="22">
        <v>45964</v>
      </c>
      <c r="E96" s="22">
        <v>46026</v>
      </c>
      <c r="F96" s="23">
        <v>148</v>
      </c>
      <c r="G96" s="24">
        <v>120</v>
      </c>
      <c r="H96" s="25">
        <f t="shared" si="4"/>
        <v>17760</v>
      </c>
      <c r="I96" s="23"/>
      <c r="J96" s="23">
        <v>1250</v>
      </c>
      <c r="K96" s="23">
        <v>155</v>
      </c>
      <c r="L96" s="23">
        <f t="shared" si="5"/>
        <v>19165</v>
      </c>
      <c r="M96" s="26">
        <v>0.3</v>
      </c>
      <c r="N96" s="26">
        <v>6</v>
      </c>
      <c r="O96" s="26">
        <v>24.984</v>
      </c>
      <c r="P96" s="27">
        <f t="shared" si="6"/>
        <v>106.106851851852</v>
      </c>
    </row>
    <row r="97" s="4" customFormat="1" ht="22.5" customHeight="1" spans="1:16">
      <c r="A97" s="28" t="s">
        <v>186</v>
      </c>
      <c r="B97" s="29" t="s">
        <v>94</v>
      </c>
      <c r="C97" s="29" t="s">
        <v>187</v>
      </c>
      <c r="D97" s="31">
        <v>45945</v>
      </c>
      <c r="E97" s="31">
        <v>45991</v>
      </c>
      <c r="F97" s="32">
        <f>59.3</f>
        <v>59.3</v>
      </c>
      <c r="G97" s="33">
        <v>300</v>
      </c>
      <c r="H97" s="34">
        <f t="shared" si="4"/>
        <v>17790</v>
      </c>
      <c r="I97" s="32"/>
      <c r="J97" s="32">
        <v>3294.84</v>
      </c>
      <c r="K97" s="32"/>
      <c r="L97" s="32">
        <f t="shared" si="5"/>
        <v>21084.84</v>
      </c>
      <c r="M97" s="35">
        <v>0.3</v>
      </c>
      <c r="N97" s="35">
        <v>6</v>
      </c>
      <c r="O97" s="35">
        <v>24.984</v>
      </c>
      <c r="P97" s="36">
        <f t="shared" si="6"/>
        <v>56.426</v>
      </c>
    </row>
    <row r="98" s="4" customFormat="1" ht="22.5" customHeight="1" spans="1:16">
      <c r="A98" s="19" t="s">
        <v>186</v>
      </c>
      <c r="B98" s="20" t="s">
        <v>94</v>
      </c>
      <c r="C98" s="20" t="s">
        <v>188</v>
      </c>
      <c r="D98" s="21">
        <v>46040</v>
      </c>
      <c r="E98" s="22">
        <v>46082</v>
      </c>
      <c r="F98" s="23">
        <v>59.3</v>
      </c>
      <c r="G98" s="20">
        <v>240</v>
      </c>
      <c r="H98" s="25">
        <f t="shared" si="4"/>
        <v>14232</v>
      </c>
      <c r="I98" s="23"/>
      <c r="J98" s="23">
        <v>2271.06</v>
      </c>
      <c r="K98" s="23"/>
      <c r="L98" s="23">
        <f t="shared" si="5"/>
        <v>16503.06</v>
      </c>
      <c r="M98" s="26">
        <v>0.3</v>
      </c>
      <c r="N98" s="26">
        <v>6</v>
      </c>
      <c r="O98" s="26">
        <v>24.984</v>
      </c>
      <c r="P98" s="27">
        <f t="shared" si="6"/>
        <v>55.5815277777778</v>
      </c>
    </row>
    <row r="99" s="4" customFormat="1" ht="22.5" customHeight="1" spans="1:16">
      <c r="A99" s="28" t="s">
        <v>186</v>
      </c>
      <c r="B99" s="29" t="s">
        <v>94</v>
      </c>
      <c r="C99" s="29" t="s">
        <v>189</v>
      </c>
      <c r="D99" s="30">
        <v>46128</v>
      </c>
      <c r="E99" s="31"/>
      <c r="F99" s="32">
        <v>59.3</v>
      </c>
      <c r="G99" s="29">
        <v>360</v>
      </c>
      <c r="H99" s="34">
        <f t="shared" si="4"/>
        <v>21348</v>
      </c>
      <c r="I99" s="32"/>
      <c r="J99" s="32">
        <v>4323.56</v>
      </c>
      <c r="K99" s="32"/>
      <c r="L99" s="32">
        <f t="shared" si="5"/>
        <v>25671.56</v>
      </c>
      <c r="M99" s="35">
        <v>0.3</v>
      </c>
      <c r="N99" s="35">
        <v>6</v>
      </c>
      <c r="O99" s="35">
        <v>24.984</v>
      </c>
      <c r="P99" s="36">
        <f t="shared" si="6"/>
        <v>56.9966049382716</v>
      </c>
    </row>
    <row r="100" s="4" customFormat="1" ht="22.5" customHeight="1" spans="1:16">
      <c r="A100" s="43"/>
      <c r="B100" s="44"/>
      <c r="C100" s="44"/>
      <c r="D100" s="45"/>
      <c r="E100" s="46"/>
      <c r="F100" s="47"/>
      <c r="G100" s="44"/>
      <c r="H100" s="48"/>
      <c r="I100" s="47"/>
      <c r="J100" s="47"/>
      <c r="K100" s="47"/>
      <c r="L100" s="47"/>
      <c r="M100" s="49"/>
      <c r="N100" s="49"/>
      <c r="O100" s="49"/>
      <c r="P100" s="50"/>
    </row>
    <row r="101" s="4" customFormat="1" ht="22.5" customHeight="1" spans="1:16">
      <c r="A101" s="43"/>
      <c r="B101" s="44"/>
      <c r="C101" s="44"/>
      <c r="D101" s="45"/>
      <c r="E101" s="46"/>
      <c r="F101" s="47"/>
      <c r="G101" s="44"/>
      <c r="H101" s="48"/>
      <c r="I101" s="47"/>
      <c r="J101" s="47"/>
      <c r="K101" s="47"/>
      <c r="L101" s="47"/>
      <c r="M101" s="49"/>
      <c r="N101" s="49"/>
      <c r="O101" s="49"/>
      <c r="P101" s="50"/>
    </row>
    <row r="102" s="4" customFormat="1" ht="22.5" customHeight="1" spans="1:16">
      <c r="A102" s="43"/>
      <c r="B102" s="44"/>
      <c r="C102" s="51" t="s">
        <v>190</v>
      </c>
      <c r="D102" s="45"/>
      <c r="E102" s="46"/>
      <c r="F102" s="47"/>
      <c r="G102" s="44"/>
      <c r="H102" s="48"/>
      <c r="I102" s="47"/>
      <c r="J102" s="47"/>
      <c r="K102" s="47"/>
      <c r="L102" s="47"/>
      <c r="M102" s="49"/>
      <c r="N102" s="49"/>
      <c r="O102" s="49"/>
      <c r="P102" s="50"/>
    </row>
    <row r="103" s="4" customFormat="1" ht="22.5" customHeight="1" spans="1:16">
      <c r="A103" s="43"/>
      <c r="B103" s="44"/>
      <c r="C103" s="51" t="s">
        <v>191</v>
      </c>
      <c r="D103" s="45"/>
      <c r="E103" s="46"/>
      <c r="F103" s="47"/>
      <c r="G103" s="44"/>
      <c r="H103" s="48"/>
      <c r="I103" s="47"/>
      <c r="J103" s="47"/>
      <c r="K103" s="47"/>
      <c r="L103" s="47"/>
      <c r="M103" s="49"/>
      <c r="N103" s="49"/>
      <c r="O103" s="49"/>
      <c r="P103" s="50"/>
    </row>
    <row r="104" s="4" customFormat="1" ht="22.5" customHeight="1" spans="1:16">
      <c r="A104" s="43"/>
      <c r="B104" s="44"/>
      <c r="C104" s="51" t="s">
        <v>192</v>
      </c>
      <c r="D104" s="45"/>
      <c r="E104" s="46"/>
      <c r="F104" s="47"/>
      <c r="G104" s="44"/>
      <c r="H104" s="48"/>
      <c r="I104" s="47"/>
      <c r="J104" s="47"/>
      <c r="K104" s="47"/>
      <c r="L104" s="47"/>
      <c r="M104" s="49"/>
      <c r="N104" s="49"/>
      <c r="O104" s="49"/>
      <c r="P104" s="50"/>
    </row>
    <row r="105" s="4" customFormat="1" ht="22.5" customHeight="1" spans="1:16">
      <c r="A105" s="43"/>
      <c r="B105" s="44"/>
      <c r="C105" s="51" t="s">
        <v>193</v>
      </c>
      <c r="D105" s="45"/>
      <c r="E105" s="46"/>
      <c r="F105" s="47"/>
      <c r="G105" s="44"/>
      <c r="H105" s="48"/>
      <c r="I105" s="47"/>
      <c r="J105" s="47"/>
      <c r="K105" s="47"/>
      <c r="L105" s="47"/>
      <c r="M105" s="49"/>
      <c r="N105" s="49"/>
      <c r="O105" s="49"/>
      <c r="P105" s="50"/>
    </row>
    <row r="106" s="4" customFormat="1" ht="22.5" customHeight="1" spans="1:16">
      <c r="A106" s="43"/>
      <c r="B106" s="44"/>
      <c r="C106" s="51" t="s">
        <v>194</v>
      </c>
      <c r="D106" s="45"/>
      <c r="E106" s="46"/>
      <c r="F106" s="47"/>
      <c r="G106" s="44"/>
      <c r="H106" s="48"/>
      <c r="I106" s="47"/>
      <c r="J106" s="47"/>
      <c r="K106" s="47"/>
      <c r="L106" s="47"/>
      <c r="M106" s="49"/>
      <c r="N106" s="49"/>
      <c r="O106" s="49"/>
      <c r="P106" s="50"/>
    </row>
    <row r="107" s="4" customFormat="1" ht="22.5" customHeight="1" spans="1:16">
      <c r="A107" s="43"/>
      <c r="B107" s="44"/>
      <c r="C107" s="51" t="s">
        <v>195</v>
      </c>
      <c r="D107" s="45"/>
      <c r="E107" s="46"/>
      <c r="F107" s="47"/>
      <c r="G107" s="44"/>
      <c r="H107" s="48"/>
      <c r="I107" s="47"/>
      <c r="J107" s="47"/>
      <c r="K107" s="47"/>
      <c r="L107" s="47"/>
      <c r="M107" s="49"/>
      <c r="N107" s="49"/>
      <c r="O107" s="49"/>
      <c r="P107" s="50"/>
    </row>
    <row r="108" s="4" customFormat="1" ht="22.5" customHeight="1" spans="1:16">
      <c r="A108" s="43"/>
      <c r="B108" s="44"/>
      <c r="C108" s="52" t="s">
        <v>196</v>
      </c>
      <c r="D108" s="45"/>
      <c r="E108" s="46"/>
      <c r="F108" s="47"/>
      <c r="G108" s="44"/>
      <c r="H108" s="48"/>
      <c r="I108" s="47"/>
      <c r="J108" s="47"/>
      <c r="K108" s="47"/>
      <c r="L108" s="47"/>
      <c r="M108" s="49"/>
      <c r="N108" s="49"/>
      <c r="O108" s="49"/>
      <c r="P108" s="50"/>
    </row>
    <row r="109" s="4" customFormat="1" ht="22.5" customHeight="1" spans="1:16">
      <c r="A109" s="43"/>
      <c r="B109" s="44"/>
      <c r="C109" s="44"/>
      <c r="D109" s="45"/>
      <c r="E109" s="46"/>
      <c r="F109" s="47"/>
      <c r="G109" s="44"/>
      <c r="H109" s="48"/>
      <c r="I109" s="47"/>
      <c r="J109" s="47"/>
      <c r="K109" s="47"/>
      <c r="L109" s="47"/>
      <c r="M109" s="49"/>
      <c r="N109" s="49"/>
      <c r="O109" s="49"/>
      <c r="P109" s="50"/>
    </row>
    <row r="110" s="4" customFormat="1" ht="22.5" customHeight="1" spans="1:16">
      <c r="A110" s="43"/>
      <c r="B110" s="44"/>
      <c r="C110" s="44"/>
      <c r="D110" s="45"/>
      <c r="E110" s="46"/>
      <c r="F110" s="47"/>
      <c r="G110" s="44"/>
      <c r="H110" s="48"/>
      <c r="I110" s="47"/>
      <c r="J110" s="47"/>
      <c r="K110" s="47"/>
      <c r="L110" s="47"/>
      <c r="M110" s="49"/>
      <c r="N110" s="49"/>
      <c r="O110" s="49"/>
      <c r="P110" s="50"/>
    </row>
    <row r="111" s="4" customFormat="1" ht="22.5" customHeight="1" spans="1:16">
      <c r="A111" s="43"/>
      <c r="B111" s="44"/>
      <c r="C111" s="44"/>
      <c r="D111" s="45"/>
      <c r="E111" s="46"/>
      <c r="F111" s="47"/>
      <c r="G111" s="44"/>
      <c r="H111" s="48"/>
      <c r="I111" s="47"/>
      <c r="J111" s="47"/>
      <c r="K111" s="47"/>
      <c r="L111" s="47"/>
      <c r="M111" s="49"/>
      <c r="N111" s="49"/>
      <c r="O111" s="49"/>
      <c r="P111" s="50"/>
    </row>
    <row r="112" s="4" customFormat="1" ht="22.5" customHeight="1" spans="1:16">
      <c r="A112" s="43"/>
      <c r="B112" s="44"/>
      <c r="C112" s="44"/>
      <c r="D112" s="45"/>
      <c r="E112" s="46"/>
      <c r="F112" s="47"/>
      <c r="G112" s="44"/>
      <c r="H112" s="48"/>
      <c r="I112" s="47"/>
      <c r="J112" s="47"/>
      <c r="K112" s="47"/>
      <c r="L112" s="47"/>
      <c r="M112" s="49"/>
      <c r="N112" s="49"/>
      <c r="O112" s="49"/>
      <c r="P112" s="50"/>
    </row>
    <row r="113" s="4" customFormat="1" ht="22.5" customHeight="1" spans="1:16">
      <c r="A113" s="43"/>
      <c r="B113" s="44"/>
      <c r="C113" s="44"/>
      <c r="D113" s="45"/>
      <c r="E113" s="46"/>
      <c r="F113" s="47"/>
      <c r="G113" s="44"/>
      <c r="H113" s="48"/>
      <c r="I113" s="47"/>
      <c r="J113" s="47"/>
      <c r="K113" s="47"/>
      <c r="L113" s="47"/>
      <c r="M113" s="49"/>
      <c r="N113" s="49"/>
      <c r="O113" s="49"/>
      <c r="P113" s="50"/>
    </row>
    <row r="114" s="4" customFormat="1" ht="22.5" customHeight="1" spans="1:16">
      <c r="A114" s="43"/>
      <c r="B114" s="44"/>
      <c r="C114" s="44"/>
      <c r="D114" s="45"/>
      <c r="E114" s="46"/>
      <c r="F114" s="47"/>
      <c r="G114" s="44"/>
      <c r="H114" s="48"/>
      <c r="I114" s="47"/>
      <c r="J114" s="47"/>
      <c r="K114" s="47"/>
      <c r="L114" s="47"/>
      <c r="M114" s="49"/>
      <c r="N114" s="49"/>
      <c r="O114" s="49"/>
      <c r="P114" s="50"/>
    </row>
    <row r="115" s="4" customFormat="1" ht="22.5" customHeight="1" spans="1:16">
      <c r="A115" s="43"/>
      <c r="B115" s="44"/>
      <c r="C115" s="44"/>
      <c r="D115" s="45"/>
      <c r="E115" s="46"/>
      <c r="F115" s="47"/>
      <c r="G115" s="44"/>
      <c r="H115" s="48"/>
      <c r="I115" s="47"/>
      <c r="J115" s="47"/>
      <c r="K115" s="47"/>
      <c r="L115" s="47"/>
      <c r="M115" s="49"/>
      <c r="N115" s="49"/>
      <c r="O115" s="49"/>
      <c r="P115" s="50"/>
    </row>
    <row r="116" s="4" customFormat="1" ht="22.5" customHeight="1" spans="1:16">
      <c r="A116" s="53"/>
      <c r="B116" s="54"/>
      <c r="C116" s="54"/>
      <c r="D116" s="55"/>
      <c r="E116" s="56"/>
      <c r="F116" s="57"/>
      <c r="G116" s="54"/>
      <c r="H116" s="48"/>
      <c r="I116" s="57"/>
      <c r="J116" s="57"/>
      <c r="K116" s="57"/>
      <c r="L116" s="57"/>
      <c r="M116" s="58"/>
      <c r="N116" s="58"/>
      <c r="O116" s="58"/>
      <c r="P116" s="59"/>
    </row>
    <row r="117" s="4" customFormat="1" ht="22.5" customHeight="1" spans="1:16">
      <c r="A117" s="53" t="s">
        <v>197</v>
      </c>
      <c r="B117" s="54"/>
      <c r="C117" s="54"/>
      <c r="D117" s="55"/>
      <c r="E117" s="56"/>
      <c r="F117" s="57"/>
      <c r="G117" s="54"/>
      <c r="H117" s="48"/>
      <c r="I117" s="57"/>
      <c r="J117" s="57"/>
      <c r="K117" s="57"/>
      <c r="L117" s="57"/>
      <c r="M117" s="58"/>
      <c r="N117" s="58"/>
      <c r="O117" s="58"/>
      <c r="P117" s="59"/>
    </row>
    <row r="118" s="4" customFormat="1" ht="22.5" customHeight="1" spans="1:16">
      <c r="A118" s="53" t="s">
        <v>198</v>
      </c>
      <c r="B118" s="54"/>
      <c r="C118" s="54"/>
      <c r="D118" s="55"/>
      <c r="E118" s="56"/>
      <c r="F118" s="57"/>
      <c r="G118" s="54"/>
      <c r="H118" s="48"/>
      <c r="I118" s="57"/>
      <c r="J118" s="57"/>
      <c r="K118" s="57"/>
      <c r="L118" s="57"/>
      <c r="M118" s="58"/>
      <c r="N118" s="58"/>
      <c r="O118" s="58"/>
      <c r="P118" s="59"/>
    </row>
    <row r="119" s="4" customFormat="1" ht="22.5" customHeight="1" spans="1:16">
      <c r="A119" s="53"/>
      <c r="B119" s="54"/>
      <c r="C119" s="54"/>
      <c r="D119" s="55"/>
      <c r="E119" s="56"/>
      <c r="F119" s="57"/>
      <c r="G119" s="54"/>
      <c r="H119" s="48"/>
      <c r="I119" s="57"/>
      <c r="J119" s="57"/>
      <c r="K119" s="57"/>
      <c r="L119" s="57"/>
      <c r="M119" s="58"/>
      <c r="N119" s="58"/>
      <c r="O119" s="58"/>
      <c r="P119" s="59"/>
    </row>
    <row r="120" s="4" customFormat="1" ht="22.5" customHeight="1" spans="1:16">
      <c r="A120" s="53"/>
      <c r="B120" s="54"/>
      <c r="C120" s="54"/>
      <c r="D120" s="55"/>
      <c r="E120" s="56"/>
      <c r="F120" s="57"/>
      <c r="G120" s="54"/>
      <c r="H120" s="48"/>
      <c r="I120" s="57"/>
      <c r="J120" s="57"/>
      <c r="K120" s="57"/>
      <c r="L120" s="57"/>
      <c r="M120" s="58"/>
      <c r="N120" s="58"/>
      <c r="O120" s="58"/>
      <c r="P120" s="59"/>
    </row>
    <row r="121" s="4" customFormat="1" ht="22.5" customHeight="1" spans="1:16">
      <c r="A121" s="53"/>
      <c r="B121" s="54"/>
      <c r="C121" s="54"/>
      <c r="D121" s="55"/>
      <c r="E121" s="56"/>
      <c r="F121" s="57"/>
      <c r="G121" s="54"/>
      <c r="H121" s="48"/>
      <c r="I121" s="57"/>
      <c r="J121" s="57"/>
      <c r="K121" s="57"/>
      <c r="L121" s="57"/>
      <c r="M121" s="58"/>
      <c r="N121" s="58"/>
      <c r="O121" s="58"/>
      <c r="P121" s="59"/>
    </row>
    <row r="122" s="4" customFormat="1" ht="22.5" customHeight="1" spans="1:16">
      <c r="A122" s="53"/>
      <c r="B122" s="54"/>
      <c r="C122" s="54"/>
      <c r="D122" s="55"/>
      <c r="E122" s="56"/>
      <c r="F122" s="57"/>
      <c r="G122" s="54"/>
      <c r="H122" s="48"/>
      <c r="I122" s="57"/>
      <c r="J122" s="57"/>
      <c r="K122" s="57"/>
      <c r="L122" s="57"/>
      <c r="M122" s="58"/>
      <c r="N122" s="58"/>
      <c r="O122" s="58"/>
      <c r="P122" s="59"/>
    </row>
    <row r="123" s="4" customFormat="1" ht="22.5" customHeight="1" spans="1:16">
      <c r="A123" s="53"/>
      <c r="B123" s="54"/>
      <c r="C123" s="54"/>
      <c r="D123" s="55"/>
      <c r="E123" s="56"/>
      <c r="F123" s="57"/>
      <c r="G123" s="54"/>
      <c r="H123" s="48"/>
      <c r="I123" s="57"/>
      <c r="J123" s="57"/>
      <c r="K123" s="57"/>
      <c r="L123" s="57"/>
      <c r="M123" s="58"/>
      <c r="N123" s="58"/>
      <c r="O123" s="58"/>
      <c r="P123" s="59"/>
    </row>
    <row r="124" s="4" customFormat="1" ht="22.5" customHeight="1" spans="1:16">
      <c r="A124" s="53"/>
      <c r="B124" s="54"/>
      <c r="C124" s="54"/>
      <c r="D124" s="55"/>
      <c r="E124" s="56"/>
      <c r="F124" s="57"/>
      <c r="G124" s="54"/>
      <c r="H124" s="48"/>
      <c r="I124" s="57"/>
      <c r="J124" s="57"/>
      <c r="K124" s="57"/>
      <c r="L124" s="57"/>
      <c r="M124" s="58"/>
      <c r="N124" s="58"/>
      <c r="O124" s="58"/>
      <c r="P124" s="59"/>
    </row>
    <row r="125" s="4" customFormat="1" ht="22.5" customHeight="1" spans="1:16">
      <c r="A125" s="53"/>
      <c r="B125" s="54"/>
      <c r="C125" s="54"/>
      <c r="D125" s="55"/>
      <c r="E125" s="56"/>
      <c r="F125" s="57"/>
      <c r="G125" s="54"/>
      <c r="H125" s="48"/>
      <c r="I125" s="57"/>
      <c r="J125" s="57"/>
      <c r="K125" s="57"/>
      <c r="L125" s="57"/>
      <c r="M125" s="58"/>
      <c r="N125" s="58"/>
      <c r="O125" s="58"/>
      <c r="P125" s="59"/>
    </row>
    <row r="126" s="1" customFormat="1" ht="22.5" customHeight="1" spans="1:16">
      <c r="A126" s="60" t="s">
        <v>199</v>
      </c>
      <c r="B126" s="61" t="s">
        <v>17</v>
      </c>
      <c r="C126" s="62"/>
      <c r="D126" s="63"/>
      <c r="E126" s="64"/>
      <c r="F126" s="65"/>
      <c r="G126" s="66">
        <v>46</v>
      </c>
      <c r="H126" s="67"/>
      <c r="I126" s="65"/>
      <c r="J126" s="65"/>
      <c r="K126" s="65"/>
      <c r="L126" s="65"/>
      <c r="M126" s="68"/>
      <c r="N126" s="68"/>
      <c r="O126" s="68"/>
      <c r="P126" s="69"/>
    </row>
    <row r="127" s="1" customFormat="1" ht="22.5" customHeight="1" spans="1:16">
      <c r="A127" s="70" t="s">
        <v>39</v>
      </c>
      <c r="B127" s="71" t="s">
        <v>40</v>
      </c>
      <c r="C127" s="72"/>
      <c r="D127" s="72" t="s">
        <v>200</v>
      </c>
      <c r="E127" s="73"/>
      <c r="F127" s="74">
        <v>91</v>
      </c>
      <c r="G127" s="75">
        <v>180</v>
      </c>
      <c r="H127" s="76">
        <f>F127*G127</f>
        <v>16380</v>
      </c>
      <c r="I127" s="74"/>
      <c r="J127" s="74">
        <f>3047.14*2</f>
        <v>6094.28</v>
      </c>
      <c r="K127" s="74"/>
      <c r="L127" s="74">
        <f t="shared" ref="L127:L133" si="7">H127+I127+J127+K127</f>
        <v>22474.28</v>
      </c>
      <c r="M127" s="77">
        <v>0.5</v>
      </c>
      <c r="N127" s="77">
        <v>6</v>
      </c>
      <c r="O127" s="77">
        <v>26.15</v>
      </c>
      <c r="P127" s="78">
        <f t="shared" ref="P127:P133" si="8">(F127+(I127+J127+K127)/G127+M127+N127+O127)/1.88</f>
        <v>83.780378250591</v>
      </c>
    </row>
    <row r="128" ht="22.5" customHeight="1" spans="1:16">
      <c r="A128" s="70" t="s">
        <v>201</v>
      </c>
      <c r="B128" s="79" t="s">
        <v>131</v>
      </c>
      <c r="C128" s="72"/>
      <c r="D128" s="72" t="s">
        <v>202</v>
      </c>
      <c r="E128" s="73"/>
      <c r="F128" s="74">
        <v>223</v>
      </c>
      <c r="G128" s="75">
        <v>100</v>
      </c>
      <c r="H128" s="76">
        <f>F128*G128</f>
        <v>22300</v>
      </c>
      <c r="I128" s="74"/>
      <c r="J128" s="74">
        <v>4905.95</v>
      </c>
      <c r="K128" s="74"/>
      <c r="L128" s="74">
        <f t="shared" si="7"/>
        <v>27205.95</v>
      </c>
      <c r="M128" s="77">
        <v>0.5</v>
      </c>
      <c r="N128" s="77">
        <v>6</v>
      </c>
      <c r="O128" s="77">
        <v>26.15</v>
      </c>
      <c r="P128" s="78">
        <f t="shared" si="8"/>
        <v>162.079521276596</v>
      </c>
    </row>
    <row r="129" ht="22.5" customHeight="1" spans="1:16">
      <c r="A129" s="80" t="s">
        <v>203</v>
      </c>
      <c r="B129" s="81" t="s">
        <v>204</v>
      </c>
      <c r="C129" s="82"/>
      <c r="D129" s="83"/>
      <c r="E129" s="83"/>
      <c r="F129" s="84">
        <v>158</v>
      </c>
      <c r="G129" s="85">
        <v>80</v>
      </c>
      <c r="H129" s="86"/>
      <c r="I129" s="84"/>
      <c r="J129" s="84"/>
      <c r="K129" s="84">
        <v>163</v>
      </c>
      <c r="L129" s="84">
        <f t="shared" si="7"/>
        <v>163</v>
      </c>
      <c r="M129" s="87">
        <v>0.5</v>
      </c>
      <c r="N129" s="87">
        <v>6</v>
      </c>
      <c r="O129" s="87">
        <v>26.15</v>
      </c>
      <c r="P129" s="88">
        <f t="shared" si="8"/>
        <v>102.49335106383</v>
      </c>
    </row>
    <row r="130" ht="22.5" customHeight="1" spans="1:16">
      <c r="A130" s="70" t="s">
        <v>205</v>
      </c>
      <c r="B130" s="89" t="s">
        <v>206</v>
      </c>
      <c r="C130" s="90"/>
      <c r="D130" s="91"/>
      <c r="E130" s="91"/>
      <c r="F130" s="92">
        <v>54</v>
      </c>
      <c r="G130" s="93">
        <v>150</v>
      </c>
      <c r="H130" s="94"/>
      <c r="I130" s="92"/>
      <c r="J130" s="92"/>
      <c r="K130" s="92">
        <v>62</v>
      </c>
      <c r="L130" s="92">
        <f t="shared" si="7"/>
        <v>62</v>
      </c>
      <c r="M130" s="95">
        <v>0.5</v>
      </c>
      <c r="N130" s="95">
        <v>6</v>
      </c>
      <c r="O130" s="95">
        <v>26.15</v>
      </c>
      <c r="P130" s="96">
        <f t="shared" si="8"/>
        <v>46.3102836879433</v>
      </c>
    </row>
    <row r="131" ht="22.5" customHeight="1" spans="1:16">
      <c r="A131" s="70" t="s">
        <v>207</v>
      </c>
      <c r="B131" s="71" t="s">
        <v>208</v>
      </c>
      <c r="C131" s="72"/>
      <c r="D131" s="73"/>
      <c r="E131" s="73"/>
      <c r="F131" s="74">
        <v>100</v>
      </c>
      <c r="G131" s="75">
        <v>100</v>
      </c>
      <c r="H131" s="76"/>
      <c r="I131" s="74"/>
      <c r="J131" s="74"/>
      <c r="K131" s="74">
        <v>107</v>
      </c>
      <c r="L131" s="74">
        <f t="shared" si="7"/>
        <v>107</v>
      </c>
      <c r="M131" s="77">
        <v>0.5</v>
      </c>
      <c r="N131" s="77">
        <v>6</v>
      </c>
      <c r="O131" s="77">
        <v>26.15</v>
      </c>
      <c r="P131" s="78">
        <f t="shared" si="8"/>
        <v>71.1276595744681</v>
      </c>
    </row>
    <row r="132" ht="22.5" customHeight="1" spans="1:16">
      <c r="A132" s="70" t="s">
        <v>209</v>
      </c>
      <c r="B132" s="89" t="s">
        <v>210</v>
      </c>
      <c r="C132" s="90"/>
      <c r="D132" s="91"/>
      <c r="E132" s="91"/>
      <c r="F132" s="92">
        <v>49</v>
      </c>
      <c r="G132" s="93">
        <v>100</v>
      </c>
      <c r="H132" s="94"/>
      <c r="I132" s="92"/>
      <c r="J132" s="92"/>
      <c r="K132" s="92">
        <v>55</v>
      </c>
      <c r="L132" s="92">
        <f t="shared" si="7"/>
        <v>55</v>
      </c>
      <c r="M132" s="95">
        <v>0.5</v>
      </c>
      <c r="N132" s="95">
        <v>6</v>
      </c>
      <c r="O132" s="95">
        <v>26.15</v>
      </c>
      <c r="P132" s="96">
        <f t="shared" si="8"/>
        <v>43.7234042553191</v>
      </c>
    </row>
    <row r="133" ht="22.5" customHeight="1" spans="1:16">
      <c r="A133" s="97" t="s">
        <v>211</v>
      </c>
      <c r="B133" s="98" t="s">
        <v>212</v>
      </c>
      <c r="C133" s="99"/>
      <c r="D133" s="100"/>
      <c r="E133" s="100"/>
      <c r="F133" s="101">
        <v>80</v>
      </c>
      <c r="G133" s="102">
        <v>200</v>
      </c>
      <c r="H133" s="103"/>
      <c r="I133" s="101"/>
      <c r="J133" s="101"/>
      <c r="K133" s="101">
        <v>90.4</v>
      </c>
      <c r="L133" s="101">
        <f t="shared" si="7"/>
        <v>90.4</v>
      </c>
      <c r="M133" s="104">
        <v>0.5</v>
      </c>
      <c r="N133" s="104">
        <v>6</v>
      </c>
      <c r="O133" s="104">
        <v>26.15</v>
      </c>
      <c r="P133" s="105">
        <f t="shared" si="8"/>
        <v>60.1606382978723</v>
      </c>
    </row>
    <row r="134" ht="22.5" customHeight="1" spans="1:16">
      <c r="A134" s="80"/>
      <c r="B134" s="81"/>
      <c r="C134" s="82"/>
      <c r="D134" s="106"/>
      <c r="E134" s="106"/>
      <c r="F134" s="82"/>
      <c r="G134" s="82"/>
      <c r="H134" s="86"/>
      <c r="I134" s="84"/>
      <c r="J134" s="84"/>
      <c r="K134" s="84"/>
      <c r="L134" s="86"/>
      <c r="M134" s="87"/>
      <c r="N134" s="87"/>
      <c r="O134" s="87"/>
      <c r="P134" s="88"/>
    </row>
    <row r="135" ht="22.5" customHeight="1" spans="1:16">
      <c r="A135" s="70"/>
      <c r="B135" s="89"/>
      <c r="C135" s="90"/>
      <c r="D135" s="107"/>
      <c r="E135" s="107"/>
      <c r="F135" s="90"/>
      <c r="G135" s="90"/>
      <c r="H135" s="94"/>
      <c r="I135" s="92"/>
      <c r="J135" s="92"/>
      <c r="K135" s="92"/>
      <c r="L135" s="94"/>
      <c r="M135" s="95"/>
      <c r="N135" s="95"/>
      <c r="O135" s="95"/>
      <c r="P135" s="96"/>
    </row>
    <row r="136" ht="22.5" customHeight="1" spans="1:16">
      <c r="A136" s="70"/>
      <c r="B136" s="71"/>
      <c r="C136" s="72" t="s">
        <v>213</v>
      </c>
      <c r="D136" s="108"/>
      <c r="E136" s="108"/>
      <c r="F136" s="72"/>
      <c r="G136" s="72"/>
      <c r="H136" s="76"/>
      <c r="I136" s="74"/>
      <c r="J136" s="74"/>
      <c r="K136" s="74"/>
      <c r="L136" s="76"/>
      <c r="M136" s="77"/>
      <c r="N136" s="77"/>
      <c r="O136" s="77"/>
      <c r="P136" s="78"/>
    </row>
    <row r="137" ht="22.5" customHeight="1" spans="1:16">
      <c r="A137" s="70"/>
      <c r="B137" s="89"/>
      <c r="C137" s="90" t="s">
        <v>214</v>
      </c>
      <c r="D137" s="107"/>
      <c r="E137" s="107"/>
      <c r="F137" s="90"/>
      <c r="G137" s="90"/>
      <c r="H137" s="94"/>
      <c r="I137" s="92"/>
      <c r="J137" s="92"/>
      <c r="K137" s="92"/>
      <c r="L137" s="94"/>
      <c r="M137" s="95"/>
      <c r="N137" s="95"/>
      <c r="O137" s="95"/>
      <c r="P137" s="96"/>
    </row>
    <row r="138" ht="22.5" customHeight="1" spans="1:16">
      <c r="A138" s="97"/>
      <c r="B138" s="98"/>
      <c r="C138" s="99"/>
      <c r="D138" s="109"/>
      <c r="E138" s="109"/>
      <c r="F138" s="99"/>
      <c r="G138" s="99"/>
      <c r="H138" s="103"/>
      <c r="I138" s="101"/>
      <c r="J138" s="101"/>
      <c r="K138" s="101"/>
      <c r="L138" s="103"/>
      <c r="M138" s="104"/>
      <c r="N138" s="104"/>
      <c r="O138" s="104"/>
      <c r="P138" s="105"/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���SIQ�v�\S �N+T�N�P0
N�gI{	� ���SIQ�v�\S �N+T�N�P0
N�gI{	� ���SIQ�v�\S +Te��S�~�v ���SIQ�v�\S �[�e���N�P9� ���SIQ�v�\S �{P[ ���SIQ�v�\S �{P[+ �[�e���N�P9� ���SIQ�v�\S �QY�{ ���SIQ�v�\S �b ���SIQ�v�\S �eg�S'��v	c  N�e ���SIQ�v�\S �b ���SIQ�v�\S �~�{ ���SIQ�v�\S �~�vY�{�	g$N!k� �8h�[ ���SIQ�v�\S 7h�T ���SIQ�v�\S 7h�T ���SIQ�v�\S 7h�T ���SIQ�v�\S 7h�T ���SIQ�v�\S 7h�T ���SIQ�v�\S 7h�T ���SIQ�v�\S �N+T�N�P0
N�gI{	� ���SIQ�v�\S �[�e���N�P9� ���SIQ�v�\S ؏	g1 7 4 �v�N<h ���SIQ�v�\S 7h�T ���SIQ�v�\S �N+T�N�P0
N�gI{	� ���SIQ�v�\S �[�e���N�P9� ���SIQ�v�\S ؏	g1 7 4 �v�N<h ���SIQ�v�\S 7h�T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WWO_wpscloud_20260424123637-febe6525c7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pass</cp:lastModifiedBy>
  <dcterms:created xsi:type="dcterms:W3CDTF">2026-05-04T17:45:00Z</dcterms:created>
  <dcterms:modified xsi:type="dcterms:W3CDTF">2026-05-04T09:49:18Z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42D2BA733DDADF76D46AF869F1759F17_41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